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drawings/drawing4.xml" ContentType="application/vnd.openxmlformats-officedocument.drawing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50b5d6fd009821/Documents/"/>
    </mc:Choice>
  </mc:AlternateContent>
  <xr:revisionPtr revIDLastSave="216" documentId="8_{E60B27C1-1B90-4244-A7E9-F36ECAF11294}" xr6:coauthVersionLast="47" xr6:coauthVersionMax="47" xr10:uidLastSave="{136E3672-2324-4ED0-BC30-D7B5F8B059D4}"/>
  <bookViews>
    <workbookView xWindow="-110" yWindow="-110" windowWidth="19420" windowHeight="10300" xr2:uid="{EF0A1EA4-FA69-4E80-BB74-A7879E3E6BCE}"/>
  </bookViews>
  <sheets>
    <sheet name="DCF (2)" sheetId="12" r:id="rId1"/>
    <sheet name="WACC" sheetId="10" r:id="rId2"/>
    <sheet name="Beta" sheetId="11" r:id="rId3"/>
    <sheet name="Fixed Assets Schedule" sheetId="2" r:id="rId4"/>
    <sheet name="PepsiCo-BS" sheetId="3" r:id="rId5"/>
    <sheet name="Pepsico-CFS" sheetId="7" r:id="rId6"/>
    <sheet name="Pepsico-Debt" sheetId="8" r:id="rId7"/>
    <sheet name="PepsiCo-IS" sheetId="5" r:id="rId8"/>
    <sheet name="Revenue Segment" sheetId="6" r:id="rId9"/>
    <sheet name="Sheet1" sheetId="13" r:id="rId10"/>
  </sheets>
  <externalReferences>
    <externalReference r:id="rId11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2" l="1"/>
  <c r="N22" i="12"/>
  <c r="O22" i="12"/>
  <c r="D49" i="12"/>
  <c r="D48" i="12"/>
  <c r="D46" i="12"/>
  <c r="I42" i="12"/>
  <c r="I43" i="12" s="1"/>
  <c r="I44" i="12" s="1"/>
  <c r="I45" i="12" s="1"/>
  <c r="I46" i="12" s="1"/>
  <c r="I47" i="12" s="1"/>
  <c r="I48" i="12" s="1"/>
  <c r="I49" i="12" s="1"/>
  <c r="D41" i="12"/>
  <c r="J40" i="12"/>
  <c r="D37" i="12"/>
  <c r="D52" i="12" s="1"/>
  <c r="D35" i="12"/>
  <c r="D50" i="12" s="1"/>
  <c r="D34" i="12"/>
  <c r="D33" i="12"/>
  <c r="D31" i="12"/>
  <c r="I29" i="12"/>
  <c r="I30" i="12" s="1"/>
  <c r="I31" i="12" s="1"/>
  <c r="I32" i="12" s="1"/>
  <c r="I33" i="12" s="1"/>
  <c r="I34" i="12" s="1"/>
  <c r="I35" i="12" s="1"/>
  <c r="I28" i="12"/>
  <c r="K26" i="12"/>
  <c r="K40" i="12" s="1"/>
  <c r="E19" i="12"/>
  <c r="F19" i="12" s="1"/>
  <c r="C19" i="12"/>
  <c r="D18" i="12"/>
  <c r="G15" i="12"/>
  <c r="F15" i="12"/>
  <c r="E15" i="12"/>
  <c r="D15" i="12"/>
  <c r="C15" i="12"/>
  <c r="G14" i="12"/>
  <c r="F14" i="12"/>
  <c r="E14" i="12"/>
  <c r="D14" i="12"/>
  <c r="C14" i="12"/>
  <c r="G13" i="12"/>
  <c r="F13" i="12"/>
  <c r="E13" i="12"/>
  <c r="D13" i="12"/>
  <c r="C13" i="12"/>
  <c r="G11" i="12"/>
  <c r="F11" i="12"/>
  <c r="E11" i="12"/>
  <c r="D11" i="12"/>
  <c r="D12" i="12" s="1"/>
  <c r="D16" i="12" s="1"/>
  <c r="C11" i="12"/>
  <c r="C12" i="12" s="1"/>
  <c r="G10" i="12"/>
  <c r="G12" i="12" s="1"/>
  <c r="G16" i="12" s="1"/>
  <c r="F10" i="12"/>
  <c r="F12" i="12" s="1"/>
  <c r="F16" i="12" s="1"/>
  <c r="E10" i="12"/>
  <c r="E12" i="12" s="1"/>
  <c r="E16" i="12" s="1"/>
  <c r="D10" i="12"/>
  <c r="C10" i="12"/>
  <c r="C5" i="12"/>
  <c r="K59" i="5"/>
  <c r="L59" i="5"/>
  <c r="J59" i="5"/>
  <c r="I59" i="5"/>
  <c r="O59" i="5"/>
  <c r="M59" i="5"/>
  <c r="N6" i="10"/>
  <c r="M6" i="10"/>
  <c r="K7" i="10"/>
  <c r="K6" i="10"/>
  <c r="H8" i="10"/>
  <c r="H6" i="10"/>
  <c r="D8" i="10"/>
  <c r="V14" i="10"/>
  <c r="V12" i="10"/>
  <c r="V11" i="10"/>
  <c r="D7" i="10"/>
  <c r="D9" i="10" s="1"/>
  <c r="M7" i="10" s="1"/>
  <c r="N7" i="10" s="1"/>
  <c r="N8" i="10" s="1"/>
  <c r="A17" i="12" s="1"/>
  <c r="H22" i="10"/>
  <c r="G25" i="10"/>
  <c r="H25" i="10" s="1"/>
  <c r="E22" i="10"/>
  <c r="D22" i="10"/>
  <c r="H16" i="10"/>
  <c r="F25" i="10"/>
  <c r="H17" i="10"/>
  <c r="H18" i="10"/>
  <c r="H19" i="10"/>
  <c r="H20" i="10"/>
  <c r="H21" i="10"/>
  <c r="G17" i="10"/>
  <c r="G18" i="10"/>
  <c r="G19" i="10"/>
  <c r="G20" i="10"/>
  <c r="G21" i="10"/>
  <c r="G16" i="10"/>
  <c r="E25" i="10"/>
  <c r="D25" i="10"/>
  <c r="D18" i="10"/>
  <c r="E16" i="10"/>
  <c r="D16" i="10"/>
  <c r="D17" i="10"/>
  <c r="C25" i="10"/>
  <c r="C21" i="10"/>
  <c r="C20" i="10"/>
  <c r="C19" i="10"/>
  <c r="C18" i="10"/>
  <c r="C17" i="10"/>
  <c r="C16" i="10"/>
  <c r="G12" i="11"/>
  <c r="G14" i="11"/>
  <c r="E14" i="11"/>
  <c r="E12" i="11"/>
  <c r="E5" i="11"/>
  <c r="G16" i="11"/>
  <c r="G15" i="11"/>
  <c r="G13" i="11"/>
  <c r="G11" i="11"/>
  <c r="G10" i="11"/>
  <c r="G9" i="11"/>
  <c r="G8" i="11"/>
  <c r="G7" i="11"/>
  <c r="G6" i="11"/>
  <c r="G5" i="11"/>
  <c r="E16" i="11"/>
  <c r="E15" i="11"/>
  <c r="E13" i="11"/>
  <c r="E11" i="11"/>
  <c r="E10" i="11"/>
  <c r="E9" i="11"/>
  <c r="E8" i="11"/>
  <c r="E7" i="11"/>
  <c r="E6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BA111" i="11"/>
  <c r="BA112" i="11"/>
  <c r="BA113" i="11"/>
  <c r="BA114" i="11"/>
  <c r="BA115" i="11"/>
  <c r="BA116" i="11"/>
  <c r="BA117" i="11"/>
  <c r="BA118" i="11"/>
  <c r="BA119" i="11"/>
  <c r="BA120" i="11"/>
  <c r="BA121" i="11"/>
  <c r="BA122" i="11"/>
  <c r="BA123" i="11"/>
  <c r="BA124" i="11"/>
  <c r="BA125" i="11"/>
  <c r="BA126" i="11"/>
  <c r="BA127" i="11"/>
  <c r="BA128" i="11"/>
  <c r="BA129" i="11"/>
  <c r="BA130" i="11"/>
  <c r="BA131" i="11"/>
  <c r="BA132" i="11"/>
  <c r="BA133" i="11"/>
  <c r="BA134" i="11"/>
  <c r="BA135" i="11"/>
  <c r="BA136" i="11"/>
  <c r="BA137" i="11"/>
  <c r="BA138" i="11"/>
  <c r="BA139" i="11"/>
  <c r="BA140" i="11"/>
  <c r="BA141" i="11"/>
  <c r="BA142" i="11"/>
  <c r="BA143" i="11"/>
  <c r="BA144" i="11"/>
  <c r="BA145" i="11"/>
  <c r="BA146" i="11"/>
  <c r="BA147" i="11"/>
  <c r="BA148" i="11"/>
  <c r="BA149" i="11"/>
  <c r="BA150" i="11"/>
  <c r="BA151" i="11"/>
  <c r="BA152" i="11"/>
  <c r="BA153" i="11"/>
  <c r="BA154" i="11"/>
  <c r="BA155" i="11"/>
  <c r="BA156" i="11"/>
  <c r="BA157" i="11"/>
  <c r="BA158" i="11"/>
  <c r="BA159" i="11"/>
  <c r="BA160" i="11"/>
  <c r="BA161" i="11"/>
  <c r="BA162" i="11"/>
  <c r="BA163" i="11"/>
  <c r="BA164" i="11"/>
  <c r="BA165" i="11"/>
  <c r="BA166" i="11"/>
  <c r="BA167" i="11"/>
  <c r="BA168" i="11"/>
  <c r="BA169" i="11"/>
  <c r="BA170" i="11"/>
  <c r="BA171" i="11"/>
  <c r="BA172" i="11"/>
  <c r="BA173" i="11"/>
  <c r="BA174" i="11"/>
  <c r="BA175" i="11"/>
  <c r="BA176" i="11"/>
  <c r="BA177" i="11"/>
  <c r="BA178" i="11"/>
  <c r="BA179" i="11"/>
  <c r="BA180" i="11"/>
  <c r="BA181" i="11"/>
  <c r="BA182" i="11"/>
  <c r="BA183" i="11"/>
  <c r="BA184" i="11"/>
  <c r="BA185" i="11"/>
  <c r="BA186" i="11"/>
  <c r="BA187" i="11"/>
  <c r="BA188" i="11"/>
  <c r="BA189" i="11"/>
  <c r="BA190" i="11"/>
  <c r="BA191" i="11"/>
  <c r="BA192" i="11"/>
  <c r="BA193" i="11"/>
  <c r="BA194" i="11"/>
  <c r="BA195" i="11"/>
  <c r="BA196" i="11"/>
  <c r="BA197" i="11"/>
  <c r="BA198" i="11"/>
  <c r="BA199" i="11"/>
  <c r="BA200" i="11"/>
  <c r="BA201" i="11"/>
  <c r="BA202" i="11"/>
  <c r="BA203" i="11"/>
  <c r="BA204" i="11"/>
  <c r="BA205" i="11"/>
  <c r="BA206" i="11"/>
  <c r="BA207" i="11"/>
  <c r="BA208" i="11"/>
  <c r="BA209" i="11"/>
  <c r="BA210" i="11"/>
  <c r="BA211" i="11"/>
  <c r="BA212" i="11"/>
  <c r="BA213" i="11"/>
  <c r="BA214" i="11"/>
  <c r="BA215" i="11"/>
  <c r="BA216" i="11"/>
  <c r="BA217" i="11"/>
  <c r="BA218" i="11"/>
  <c r="BA219" i="11"/>
  <c r="BA220" i="11"/>
  <c r="BA221" i="11"/>
  <c r="BA222" i="11"/>
  <c r="BA223" i="11"/>
  <c r="BA224" i="11"/>
  <c r="BA225" i="11"/>
  <c r="BA226" i="11"/>
  <c r="BA227" i="11"/>
  <c r="BA228" i="11"/>
  <c r="BA229" i="11"/>
  <c r="BA230" i="11"/>
  <c r="BA231" i="11"/>
  <c r="BA232" i="11"/>
  <c r="BA233" i="11"/>
  <c r="BA234" i="11"/>
  <c r="BA235" i="11"/>
  <c r="BA236" i="11"/>
  <c r="BA237" i="11"/>
  <c r="BA238" i="11"/>
  <c r="BA239" i="11"/>
  <c r="BA240" i="11"/>
  <c r="BA241" i="11"/>
  <c r="BA242" i="11"/>
  <c r="BA243" i="11"/>
  <c r="BA244" i="11"/>
  <c r="BA245" i="11"/>
  <c r="BA246" i="11"/>
  <c r="BA247" i="11"/>
  <c r="BA248" i="11"/>
  <c r="BA249" i="11"/>
  <c r="BA250" i="11"/>
  <c r="BA251" i="11"/>
  <c r="BA252" i="11"/>
  <c r="BA253" i="11"/>
  <c r="BA254" i="11"/>
  <c r="BA255" i="11"/>
  <c r="BA256" i="11"/>
  <c r="BA257" i="11"/>
  <c r="BA258" i="11"/>
  <c r="BA21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AW34" i="11"/>
  <c r="AW35" i="11"/>
  <c r="AW36" i="11"/>
  <c r="AW37" i="11"/>
  <c r="AW38" i="11"/>
  <c r="AW39" i="11"/>
  <c r="AW40" i="11"/>
  <c r="AW41" i="11"/>
  <c r="AW42" i="11"/>
  <c r="AW43" i="11"/>
  <c r="AW44" i="11"/>
  <c r="AW45" i="11"/>
  <c r="AW46" i="11"/>
  <c r="AW47" i="11"/>
  <c r="AW48" i="11"/>
  <c r="AW49" i="11"/>
  <c r="AW50" i="11"/>
  <c r="AW51" i="11"/>
  <c r="AW52" i="11"/>
  <c r="AW53" i="11"/>
  <c r="AW54" i="11"/>
  <c r="AW55" i="11"/>
  <c r="AW56" i="11"/>
  <c r="AW57" i="11"/>
  <c r="AW58" i="11"/>
  <c r="AW59" i="11"/>
  <c r="AW60" i="11"/>
  <c r="AW61" i="11"/>
  <c r="AW62" i="11"/>
  <c r="AW63" i="11"/>
  <c r="AW64" i="11"/>
  <c r="AW65" i="11"/>
  <c r="AW66" i="11"/>
  <c r="AW67" i="11"/>
  <c r="AW68" i="11"/>
  <c r="AW69" i="11"/>
  <c r="AW70" i="11"/>
  <c r="AW71" i="11"/>
  <c r="AW72" i="11"/>
  <c r="AW73" i="11"/>
  <c r="AW74" i="11"/>
  <c r="AW75" i="11"/>
  <c r="AW76" i="11"/>
  <c r="AW77" i="11"/>
  <c r="AW78" i="11"/>
  <c r="AW79" i="11"/>
  <c r="AW80" i="11"/>
  <c r="AW81" i="11"/>
  <c r="AW82" i="11"/>
  <c r="AW83" i="11"/>
  <c r="AW84" i="11"/>
  <c r="AW85" i="11"/>
  <c r="AW86" i="11"/>
  <c r="AW87" i="11"/>
  <c r="AW88" i="11"/>
  <c r="AW89" i="11"/>
  <c r="AW90" i="11"/>
  <c r="AW91" i="11"/>
  <c r="AW92" i="11"/>
  <c r="AW93" i="11"/>
  <c r="AW94" i="11"/>
  <c r="AW95" i="11"/>
  <c r="AW96" i="11"/>
  <c r="AW97" i="11"/>
  <c r="AW98" i="11"/>
  <c r="AW99" i="11"/>
  <c r="AW100" i="11"/>
  <c r="AW101" i="11"/>
  <c r="AW102" i="11"/>
  <c r="AW103" i="11"/>
  <c r="AW104" i="11"/>
  <c r="AW105" i="11"/>
  <c r="AW106" i="11"/>
  <c r="AW107" i="11"/>
  <c r="AW108" i="11"/>
  <c r="AW109" i="11"/>
  <c r="AW110" i="11"/>
  <c r="AW111" i="11"/>
  <c r="AW112" i="11"/>
  <c r="AW113" i="11"/>
  <c r="AW114" i="11"/>
  <c r="AW115" i="11"/>
  <c r="AW116" i="11"/>
  <c r="AW117" i="11"/>
  <c r="AW118" i="11"/>
  <c r="AW119" i="11"/>
  <c r="AW120" i="11"/>
  <c r="AW121" i="11"/>
  <c r="AW122" i="11"/>
  <c r="AW123" i="11"/>
  <c r="AW124" i="11"/>
  <c r="AW125" i="11"/>
  <c r="AW126" i="11"/>
  <c r="AW127" i="11"/>
  <c r="AW128" i="11"/>
  <c r="AW129" i="11"/>
  <c r="AW130" i="11"/>
  <c r="AW131" i="11"/>
  <c r="AW132" i="11"/>
  <c r="AW133" i="11"/>
  <c r="AW134" i="11"/>
  <c r="AW135" i="11"/>
  <c r="AW136" i="11"/>
  <c r="AW137" i="11"/>
  <c r="AW138" i="11"/>
  <c r="AW139" i="11"/>
  <c r="AW140" i="11"/>
  <c r="AW141" i="11"/>
  <c r="AW142" i="11"/>
  <c r="AW143" i="11"/>
  <c r="AW144" i="11"/>
  <c r="AW145" i="11"/>
  <c r="AW146" i="11"/>
  <c r="AW147" i="11"/>
  <c r="AW148" i="11"/>
  <c r="AW149" i="11"/>
  <c r="AW150" i="11"/>
  <c r="AW151" i="11"/>
  <c r="AW152" i="11"/>
  <c r="AW153" i="11"/>
  <c r="AW154" i="11"/>
  <c r="AW155" i="11"/>
  <c r="AW156" i="11"/>
  <c r="AW157" i="11"/>
  <c r="AW158" i="11"/>
  <c r="AW159" i="11"/>
  <c r="AW160" i="11"/>
  <c r="AW161" i="11"/>
  <c r="AW162" i="11"/>
  <c r="AW163" i="11"/>
  <c r="AW164" i="11"/>
  <c r="AW165" i="11"/>
  <c r="AW166" i="11"/>
  <c r="AW167" i="11"/>
  <c r="AW168" i="11"/>
  <c r="AW169" i="11"/>
  <c r="AW170" i="11"/>
  <c r="AW171" i="11"/>
  <c r="AW172" i="11"/>
  <c r="AW173" i="11"/>
  <c r="AW174" i="11"/>
  <c r="AW175" i="11"/>
  <c r="AW176" i="11"/>
  <c r="AW177" i="11"/>
  <c r="AW178" i="11"/>
  <c r="AW179" i="11"/>
  <c r="AW180" i="11"/>
  <c r="AW181" i="11"/>
  <c r="AW182" i="11"/>
  <c r="AW183" i="11"/>
  <c r="AW184" i="11"/>
  <c r="AW185" i="11"/>
  <c r="AW186" i="11"/>
  <c r="AW187" i="11"/>
  <c r="AW188" i="11"/>
  <c r="AW189" i="11"/>
  <c r="AW190" i="11"/>
  <c r="AW191" i="11"/>
  <c r="AW192" i="11"/>
  <c r="AW193" i="11"/>
  <c r="AW194" i="11"/>
  <c r="AW195" i="11"/>
  <c r="AW196" i="11"/>
  <c r="AW197" i="11"/>
  <c r="AW198" i="11"/>
  <c r="AW199" i="11"/>
  <c r="AW200" i="11"/>
  <c r="AW201" i="11"/>
  <c r="AW202" i="11"/>
  <c r="AW203" i="11"/>
  <c r="AW204" i="11"/>
  <c r="AW205" i="11"/>
  <c r="AW206" i="11"/>
  <c r="AW207" i="11"/>
  <c r="AW208" i="11"/>
  <c r="AW209" i="11"/>
  <c r="AW210" i="11"/>
  <c r="AW211" i="11"/>
  <c r="AW212" i="11"/>
  <c r="AW213" i="11"/>
  <c r="AW214" i="11"/>
  <c r="AW215" i="11"/>
  <c r="AW216" i="11"/>
  <c r="AW217" i="11"/>
  <c r="AW218" i="11"/>
  <c r="AW219" i="11"/>
  <c r="AW220" i="11"/>
  <c r="AW221" i="11"/>
  <c r="AW222" i="11"/>
  <c r="AW223" i="11"/>
  <c r="AW224" i="11"/>
  <c r="AW225" i="11"/>
  <c r="AW226" i="11"/>
  <c r="AW227" i="11"/>
  <c r="AW228" i="11"/>
  <c r="AW229" i="11"/>
  <c r="AW230" i="11"/>
  <c r="AW231" i="11"/>
  <c r="AW232" i="11"/>
  <c r="AW233" i="11"/>
  <c r="AW234" i="11"/>
  <c r="AW235" i="11"/>
  <c r="AW236" i="11"/>
  <c r="AW237" i="11"/>
  <c r="AW238" i="11"/>
  <c r="AW239" i="11"/>
  <c r="AW240" i="11"/>
  <c r="AW241" i="11"/>
  <c r="AW242" i="11"/>
  <c r="AW243" i="11"/>
  <c r="AW244" i="11"/>
  <c r="AW245" i="11"/>
  <c r="AW246" i="11"/>
  <c r="AW247" i="11"/>
  <c r="AW248" i="11"/>
  <c r="AW249" i="11"/>
  <c r="AW250" i="11"/>
  <c r="AW251" i="11"/>
  <c r="AW252" i="11"/>
  <c r="AW253" i="11"/>
  <c r="AW254" i="11"/>
  <c r="AW255" i="11"/>
  <c r="AW256" i="11"/>
  <c r="AW257" i="11"/>
  <c r="AW258" i="11"/>
  <c r="AW21" i="11"/>
  <c r="AS22" i="11"/>
  <c r="AS23" i="11"/>
  <c r="AS24" i="11"/>
  <c r="AS25" i="11"/>
  <c r="AS26" i="11"/>
  <c r="AS27" i="11"/>
  <c r="AS28" i="11"/>
  <c r="AS29" i="11"/>
  <c r="AS30" i="11"/>
  <c r="AS31" i="11"/>
  <c r="AS32" i="11"/>
  <c r="AS33" i="11"/>
  <c r="AS34" i="11"/>
  <c r="AS35" i="11"/>
  <c r="AS36" i="11"/>
  <c r="AS37" i="11"/>
  <c r="AS38" i="11"/>
  <c r="AS39" i="11"/>
  <c r="AS40" i="11"/>
  <c r="AS41" i="11"/>
  <c r="AS42" i="11"/>
  <c r="AS43" i="11"/>
  <c r="AS44" i="11"/>
  <c r="AS45" i="11"/>
  <c r="AS46" i="11"/>
  <c r="AS47" i="11"/>
  <c r="AS48" i="11"/>
  <c r="AS49" i="11"/>
  <c r="AS50" i="11"/>
  <c r="AS51" i="11"/>
  <c r="AS52" i="11"/>
  <c r="AS53" i="11"/>
  <c r="AS54" i="11"/>
  <c r="AS55" i="11"/>
  <c r="AS56" i="11"/>
  <c r="AS57" i="11"/>
  <c r="AS58" i="11"/>
  <c r="AS59" i="11"/>
  <c r="AS60" i="11"/>
  <c r="AS61" i="11"/>
  <c r="AS62" i="11"/>
  <c r="AS63" i="11"/>
  <c r="AS64" i="11"/>
  <c r="AS65" i="11"/>
  <c r="AS66" i="11"/>
  <c r="AS67" i="11"/>
  <c r="AS68" i="11"/>
  <c r="AS69" i="11"/>
  <c r="AS70" i="11"/>
  <c r="AS71" i="11"/>
  <c r="AS72" i="11"/>
  <c r="AS73" i="11"/>
  <c r="AS74" i="11"/>
  <c r="AS75" i="11"/>
  <c r="AS76" i="11"/>
  <c r="AS77" i="11"/>
  <c r="AS78" i="11"/>
  <c r="AS79" i="11"/>
  <c r="AS80" i="11"/>
  <c r="AS81" i="11"/>
  <c r="AS82" i="11"/>
  <c r="AS83" i="11"/>
  <c r="AS84" i="11"/>
  <c r="AS85" i="11"/>
  <c r="AS86" i="11"/>
  <c r="AS87" i="11"/>
  <c r="AS88" i="11"/>
  <c r="AS89" i="11"/>
  <c r="AS90" i="11"/>
  <c r="AS91" i="11"/>
  <c r="AS92" i="11"/>
  <c r="AS93" i="11"/>
  <c r="AS94" i="11"/>
  <c r="AS95" i="11"/>
  <c r="AS96" i="11"/>
  <c r="AS97" i="11"/>
  <c r="AS98" i="11"/>
  <c r="AS99" i="11"/>
  <c r="AS100" i="11"/>
  <c r="AS101" i="11"/>
  <c r="AS102" i="11"/>
  <c r="AS103" i="11"/>
  <c r="AS104" i="11"/>
  <c r="AS105" i="11"/>
  <c r="AS106" i="11"/>
  <c r="AS107" i="11"/>
  <c r="AS108" i="11"/>
  <c r="AS109" i="11"/>
  <c r="AS110" i="11"/>
  <c r="AS111" i="11"/>
  <c r="AS112" i="11"/>
  <c r="AS113" i="11"/>
  <c r="AS114" i="11"/>
  <c r="AS115" i="11"/>
  <c r="AS116" i="11"/>
  <c r="AS117" i="11"/>
  <c r="AS118" i="11"/>
  <c r="AS119" i="11"/>
  <c r="AS120" i="11"/>
  <c r="AS121" i="11"/>
  <c r="AS122" i="11"/>
  <c r="AS123" i="11"/>
  <c r="AS124" i="11"/>
  <c r="AS125" i="11"/>
  <c r="AS126" i="11"/>
  <c r="AS127" i="11"/>
  <c r="AS128" i="11"/>
  <c r="AS129" i="11"/>
  <c r="AS130" i="11"/>
  <c r="AS131" i="11"/>
  <c r="AS132" i="11"/>
  <c r="AS133" i="11"/>
  <c r="AS134" i="11"/>
  <c r="AS135" i="11"/>
  <c r="AS136" i="11"/>
  <c r="AS137" i="11"/>
  <c r="AS138" i="11"/>
  <c r="AS139" i="11"/>
  <c r="AS140" i="11"/>
  <c r="AS141" i="11"/>
  <c r="AS142" i="11"/>
  <c r="AS143" i="11"/>
  <c r="AS144" i="11"/>
  <c r="AS145" i="11"/>
  <c r="AS146" i="11"/>
  <c r="AS147" i="11"/>
  <c r="AS148" i="11"/>
  <c r="AS149" i="11"/>
  <c r="AS150" i="11"/>
  <c r="AS151" i="11"/>
  <c r="AS152" i="11"/>
  <c r="AS153" i="11"/>
  <c r="AS154" i="11"/>
  <c r="AS155" i="11"/>
  <c r="AS156" i="11"/>
  <c r="AS157" i="11"/>
  <c r="AS158" i="11"/>
  <c r="AS159" i="11"/>
  <c r="AS160" i="11"/>
  <c r="AS161" i="11"/>
  <c r="AS162" i="11"/>
  <c r="AS163" i="11"/>
  <c r="AS164" i="11"/>
  <c r="AS165" i="11"/>
  <c r="AS166" i="11"/>
  <c r="AS167" i="11"/>
  <c r="AS168" i="11"/>
  <c r="AS169" i="11"/>
  <c r="AS170" i="11"/>
  <c r="AS171" i="11"/>
  <c r="AS172" i="11"/>
  <c r="AS173" i="11"/>
  <c r="AS174" i="11"/>
  <c r="AS175" i="11"/>
  <c r="AS176" i="11"/>
  <c r="AS177" i="11"/>
  <c r="AS178" i="11"/>
  <c r="AS179" i="11"/>
  <c r="AS180" i="11"/>
  <c r="AS181" i="11"/>
  <c r="AS182" i="11"/>
  <c r="AS183" i="11"/>
  <c r="AS184" i="11"/>
  <c r="AS185" i="11"/>
  <c r="AS186" i="11"/>
  <c r="AS187" i="11"/>
  <c r="AS188" i="11"/>
  <c r="AS189" i="11"/>
  <c r="AS190" i="11"/>
  <c r="AS191" i="11"/>
  <c r="AS192" i="11"/>
  <c r="AS193" i="11"/>
  <c r="AS194" i="11"/>
  <c r="AS195" i="11"/>
  <c r="AS196" i="11"/>
  <c r="AS197" i="11"/>
  <c r="AS198" i="11"/>
  <c r="AS199" i="11"/>
  <c r="AS200" i="11"/>
  <c r="AS201" i="11"/>
  <c r="AS202" i="11"/>
  <c r="AS203" i="11"/>
  <c r="AS204" i="11"/>
  <c r="AS205" i="11"/>
  <c r="AS206" i="11"/>
  <c r="AS207" i="11"/>
  <c r="AS208" i="11"/>
  <c r="AS209" i="11"/>
  <c r="AS210" i="11"/>
  <c r="AS211" i="11"/>
  <c r="AS212" i="11"/>
  <c r="AS213" i="11"/>
  <c r="AS214" i="11"/>
  <c r="AS215" i="11"/>
  <c r="AS216" i="11"/>
  <c r="AS217" i="11"/>
  <c r="AS218" i="11"/>
  <c r="AS219" i="11"/>
  <c r="AS220" i="11"/>
  <c r="AS221" i="11"/>
  <c r="AS222" i="11"/>
  <c r="AS223" i="11"/>
  <c r="AS224" i="11"/>
  <c r="AS225" i="11"/>
  <c r="AS226" i="11"/>
  <c r="AS227" i="11"/>
  <c r="AS228" i="11"/>
  <c r="AS229" i="11"/>
  <c r="AS230" i="11"/>
  <c r="AS231" i="11"/>
  <c r="AS232" i="11"/>
  <c r="AS233" i="11"/>
  <c r="AS234" i="11"/>
  <c r="AS235" i="11"/>
  <c r="AS236" i="11"/>
  <c r="AS237" i="11"/>
  <c r="AS238" i="11"/>
  <c r="AS239" i="11"/>
  <c r="AS240" i="11"/>
  <c r="AS241" i="11"/>
  <c r="AS242" i="11"/>
  <c r="AS243" i="11"/>
  <c r="AS244" i="11"/>
  <c r="AS245" i="11"/>
  <c r="AS246" i="11"/>
  <c r="AS247" i="11"/>
  <c r="AS248" i="11"/>
  <c r="AS249" i="11"/>
  <c r="AS250" i="11"/>
  <c r="AS251" i="11"/>
  <c r="AS252" i="11"/>
  <c r="AS253" i="11"/>
  <c r="AS254" i="11"/>
  <c r="AS255" i="11"/>
  <c r="AS256" i="11"/>
  <c r="AS257" i="11"/>
  <c r="AS258" i="11"/>
  <c r="AS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O110" i="11"/>
  <c r="AO111" i="11"/>
  <c r="AO112" i="11"/>
  <c r="AO113" i="11"/>
  <c r="AO114" i="11"/>
  <c r="AO115" i="11"/>
  <c r="AO116" i="11"/>
  <c r="AO117" i="11"/>
  <c r="AO118" i="11"/>
  <c r="AO119" i="11"/>
  <c r="AO120" i="11"/>
  <c r="AO121" i="11"/>
  <c r="AO122" i="11"/>
  <c r="AO123" i="11"/>
  <c r="AO124" i="11"/>
  <c r="AO125" i="11"/>
  <c r="AO126" i="11"/>
  <c r="AO127" i="11"/>
  <c r="AO128" i="11"/>
  <c r="AO129" i="11"/>
  <c r="AO130" i="11"/>
  <c r="AO131" i="11"/>
  <c r="AO132" i="11"/>
  <c r="AO133" i="11"/>
  <c r="AO134" i="11"/>
  <c r="AO135" i="11"/>
  <c r="AO136" i="11"/>
  <c r="AO137" i="11"/>
  <c r="AO138" i="11"/>
  <c r="AO139" i="11"/>
  <c r="AO140" i="11"/>
  <c r="AO141" i="11"/>
  <c r="AO142" i="11"/>
  <c r="AO143" i="11"/>
  <c r="AO144" i="11"/>
  <c r="AO145" i="11"/>
  <c r="AO146" i="11"/>
  <c r="AO147" i="11"/>
  <c r="AO148" i="11"/>
  <c r="AO149" i="11"/>
  <c r="AO150" i="11"/>
  <c r="AO151" i="11"/>
  <c r="AO152" i="11"/>
  <c r="AO153" i="11"/>
  <c r="AO154" i="11"/>
  <c r="AO155" i="11"/>
  <c r="AO156" i="11"/>
  <c r="AO157" i="11"/>
  <c r="AO158" i="11"/>
  <c r="AO159" i="11"/>
  <c r="AO160" i="11"/>
  <c r="AO161" i="11"/>
  <c r="AO162" i="11"/>
  <c r="AO163" i="11"/>
  <c r="AO164" i="11"/>
  <c r="AO165" i="11"/>
  <c r="AO166" i="11"/>
  <c r="AO167" i="11"/>
  <c r="AO168" i="11"/>
  <c r="AO169" i="11"/>
  <c r="AO170" i="11"/>
  <c r="AO171" i="11"/>
  <c r="AO172" i="11"/>
  <c r="AO173" i="11"/>
  <c r="AO174" i="11"/>
  <c r="AO175" i="11"/>
  <c r="AO176" i="11"/>
  <c r="AO177" i="11"/>
  <c r="AO178" i="11"/>
  <c r="AO179" i="11"/>
  <c r="AO180" i="11"/>
  <c r="AO181" i="11"/>
  <c r="AO182" i="11"/>
  <c r="AO183" i="11"/>
  <c r="AO184" i="11"/>
  <c r="AO185" i="11"/>
  <c r="AO186" i="11"/>
  <c r="AO187" i="11"/>
  <c r="AO188" i="11"/>
  <c r="AO189" i="11"/>
  <c r="AO190" i="11"/>
  <c r="AO191" i="11"/>
  <c r="AO192" i="11"/>
  <c r="AO193" i="11"/>
  <c r="AO194" i="11"/>
  <c r="AO195" i="11"/>
  <c r="AO196" i="11"/>
  <c r="AO197" i="11"/>
  <c r="AO198" i="11"/>
  <c r="AO199" i="11"/>
  <c r="AO200" i="11"/>
  <c r="AO201" i="11"/>
  <c r="AO202" i="11"/>
  <c r="AO203" i="11"/>
  <c r="AO204" i="11"/>
  <c r="AO205" i="11"/>
  <c r="AO206" i="11"/>
  <c r="AO207" i="11"/>
  <c r="AO208" i="11"/>
  <c r="AO209" i="11"/>
  <c r="AO210" i="11"/>
  <c r="AO211" i="11"/>
  <c r="AO212" i="11"/>
  <c r="AO213" i="11"/>
  <c r="AO214" i="11"/>
  <c r="AO215" i="11"/>
  <c r="AO216" i="11"/>
  <c r="AO217" i="11"/>
  <c r="AO218" i="11"/>
  <c r="AO219" i="11"/>
  <c r="AO220" i="11"/>
  <c r="AO221" i="11"/>
  <c r="AO222" i="11"/>
  <c r="AO223" i="11"/>
  <c r="AO224" i="11"/>
  <c r="AO225" i="11"/>
  <c r="AO226" i="11"/>
  <c r="AO227" i="11"/>
  <c r="AO228" i="11"/>
  <c r="AO229" i="11"/>
  <c r="AO230" i="11"/>
  <c r="AO231" i="11"/>
  <c r="AO232" i="11"/>
  <c r="AO233" i="11"/>
  <c r="AO234" i="11"/>
  <c r="AO235" i="11"/>
  <c r="AO236" i="11"/>
  <c r="AO237" i="11"/>
  <c r="AO238" i="11"/>
  <c r="AO239" i="11"/>
  <c r="AO240" i="11"/>
  <c r="AO241" i="11"/>
  <c r="AO242" i="11"/>
  <c r="AO243" i="11"/>
  <c r="AO244" i="11"/>
  <c r="AO245" i="11"/>
  <c r="AO246" i="11"/>
  <c r="AO247" i="11"/>
  <c r="AO248" i="11"/>
  <c r="AO249" i="11"/>
  <c r="AO250" i="11"/>
  <c r="AO251" i="11"/>
  <c r="AO252" i="11"/>
  <c r="AO253" i="11"/>
  <c r="AO254" i="11"/>
  <c r="AO255" i="11"/>
  <c r="AO256" i="11"/>
  <c r="AO257" i="11"/>
  <c r="AO258" i="11"/>
  <c r="AO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AK89" i="11"/>
  <c r="AK90" i="11"/>
  <c r="AK91" i="11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AK111" i="11"/>
  <c r="AK112" i="11"/>
  <c r="AK113" i="11"/>
  <c r="AK114" i="11"/>
  <c r="AK115" i="11"/>
  <c r="AK116" i="11"/>
  <c r="AK117" i="11"/>
  <c r="AK118" i="11"/>
  <c r="AK119" i="11"/>
  <c r="AK120" i="11"/>
  <c r="AK121" i="11"/>
  <c r="AK122" i="11"/>
  <c r="AK123" i="11"/>
  <c r="AK124" i="11"/>
  <c r="AK125" i="11"/>
  <c r="AK126" i="11"/>
  <c r="AK127" i="11"/>
  <c r="AK128" i="11"/>
  <c r="AK129" i="11"/>
  <c r="AK130" i="11"/>
  <c r="AK131" i="11"/>
  <c r="AK132" i="11"/>
  <c r="AK133" i="11"/>
  <c r="AK134" i="11"/>
  <c r="AK135" i="11"/>
  <c r="AK136" i="11"/>
  <c r="AK137" i="11"/>
  <c r="AK138" i="11"/>
  <c r="AK139" i="11"/>
  <c r="AK140" i="11"/>
  <c r="AK141" i="11"/>
  <c r="AK142" i="11"/>
  <c r="AK143" i="11"/>
  <c r="AK144" i="11"/>
  <c r="AK145" i="11"/>
  <c r="AK146" i="11"/>
  <c r="AK147" i="11"/>
  <c r="AK148" i="11"/>
  <c r="AK149" i="11"/>
  <c r="AK150" i="11"/>
  <c r="AK151" i="11"/>
  <c r="AK152" i="11"/>
  <c r="AK153" i="11"/>
  <c r="AK154" i="11"/>
  <c r="AK155" i="11"/>
  <c r="AK156" i="11"/>
  <c r="AK157" i="11"/>
  <c r="AK158" i="11"/>
  <c r="AK159" i="11"/>
  <c r="AK160" i="11"/>
  <c r="AK161" i="11"/>
  <c r="AK162" i="11"/>
  <c r="AK163" i="11"/>
  <c r="AK164" i="11"/>
  <c r="AK165" i="11"/>
  <c r="AK166" i="11"/>
  <c r="AK167" i="11"/>
  <c r="AK168" i="11"/>
  <c r="AK169" i="11"/>
  <c r="AK170" i="11"/>
  <c r="AK171" i="11"/>
  <c r="AK172" i="11"/>
  <c r="AK173" i="11"/>
  <c r="AK174" i="11"/>
  <c r="AK175" i="11"/>
  <c r="AK176" i="11"/>
  <c r="AK177" i="11"/>
  <c r="AK178" i="11"/>
  <c r="AK179" i="11"/>
  <c r="AK180" i="11"/>
  <c r="AK181" i="11"/>
  <c r="AK182" i="11"/>
  <c r="AK183" i="11"/>
  <c r="AK184" i="11"/>
  <c r="AK185" i="11"/>
  <c r="AK186" i="11"/>
  <c r="AK187" i="11"/>
  <c r="AK188" i="11"/>
  <c r="AK189" i="11"/>
  <c r="AK190" i="11"/>
  <c r="AK191" i="11"/>
  <c r="AK192" i="11"/>
  <c r="AK193" i="11"/>
  <c r="AK194" i="11"/>
  <c r="AK195" i="11"/>
  <c r="AK196" i="11"/>
  <c r="AK197" i="11"/>
  <c r="AK198" i="11"/>
  <c r="AK199" i="11"/>
  <c r="AK200" i="11"/>
  <c r="AK201" i="11"/>
  <c r="AK202" i="11"/>
  <c r="AK203" i="11"/>
  <c r="AK204" i="11"/>
  <c r="AK205" i="11"/>
  <c r="AK206" i="11"/>
  <c r="AK207" i="11"/>
  <c r="AK208" i="11"/>
  <c r="AK209" i="11"/>
  <c r="AK210" i="11"/>
  <c r="AK211" i="11"/>
  <c r="AK212" i="11"/>
  <c r="AK213" i="11"/>
  <c r="AK214" i="11"/>
  <c r="AK215" i="11"/>
  <c r="AK216" i="11"/>
  <c r="AK217" i="11"/>
  <c r="AK218" i="11"/>
  <c r="AK219" i="11"/>
  <c r="AK220" i="11"/>
  <c r="AK221" i="11"/>
  <c r="AK222" i="11"/>
  <c r="AK223" i="11"/>
  <c r="AK224" i="11"/>
  <c r="AK225" i="11"/>
  <c r="AK226" i="11"/>
  <c r="AK227" i="11"/>
  <c r="AK228" i="11"/>
  <c r="AK229" i="11"/>
  <c r="AK230" i="11"/>
  <c r="AK231" i="11"/>
  <c r="AK232" i="11"/>
  <c r="AK233" i="11"/>
  <c r="AK234" i="11"/>
  <c r="AK235" i="11"/>
  <c r="AK236" i="11"/>
  <c r="AK237" i="11"/>
  <c r="AK238" i="11"/>
  <c r="AK239" i="11"/>
  <c r="AK240" i="11"/>
  <c r="AK241" i="11"/>
  <c r="AK242" i="11"/>
  <c r="AK243" i="11"/>
  <c r="AK244" i="11"/>
  <c r="AK245" i="11"/>
  <c r="AK246" i="11"/>
  <c r="AK247" i="11"/>
  <c r="AK248" i="11"/>
  <c r="AK249" i="11"/>
  <c r="AK250" i="11"/>
  <c r="AK251" i="11"/>
  <c r="AK252" i="11"/>
  <c r="AK253" i="11"/>
  <c r="AK254" i="11"/>
  <c r="AK255" i="11"/>
  <c r="AK256" i="11"/>
  <c r="AK257" i="11"/>
  <c r="AK258" i="11"/>
  <c r="AK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62" i="11"/>
  <c r="AG63" i="11"/>
  <c r="AG64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77" i="11"/>
  <c r="AG78" i="11"/>
  <c r="AG79" i="11"/>
  <c r="AG80" i="11"/>
  <c r="AG81" i="11"/>
  <c r="AG82" i="11"/>
  <c r="AG83" i="11"/>
  <c r="AG84" i="11"/>
  <c r="AG85" i="11"/>
  <c r="AG86" i="11"/>
  <c r="AG87" i="11"/>
  <c r="AG88" i="11"/>
  <c r="AG89" i="11"/>
  <c r="AG90" i="11"/>
  <c r="AG91" i="11"/>
  <c r="AG92" i="11"/>
  <c r="AG93" i="11"/>
  <c r="AG94" i="11"/>
  <c r="AG95" i="11"/>
  <c r="AG96" i="11"/>
  <c r="AG97" i="11"/>
  <c r="AG98" i="11"/>
  <c r="AG99" i="11"/>
  <c r="AG100" i="11"/>
  <c r="AG101" i="11"/>
  <c r="AG102" i="11"/>
  <c r="AG103" i="11"/>
  <c r="AG104" i="11"/>
  <c r="AG105" i="11"/>
  <c r="AG106" i="11"/>
  <c r="AG107" i="11"/>
  <c r="AG108" i="11"/>
  <c r="AG109" i="11"/>
  <c r="AG110" i="11"/>
  <c r="AG111" i="11"/>
  <c r="AG112" i="11"/>
  <c r="AG113" i="11"/>
  <c r="AG114" i="11"/>
  <c r="AG115" i="11"/>
  <c r="AG116" i="11"/>
  <c r="AG117" i="11"/>
  <c r="AG118" i="11"/>
  <c r="AG119" i="11"/>
  <c r="AG120" i="11"/>
  <c r="AG121" i="11"/>
  <c r="AG122" i="11"/>
  <c r="AG123" i="11"/>
  <c r="AG124" i="11"/>
  <c r="AG125" i="11"/>
  <c r="AG126" i="11"/>
  <c r="AG127" i="11"/>
  <c r="AG128" i="11"/>
  <c r="AG129" i="11"/>
  <c r="AG130" i="11"/>
  <c r="AG131" i="11"/>
  <c r="AG132" i="11"/>
  <c r="AG133" i="11"/>
  <c r="AG134" i="11"/>
  <c r="AG135" i="11"/>
  <c r="AG136" i="11"/>
  <c r="AG137" i="11"/>
  <c r="AG138" i="11"/>
  <c r="AG139" i="11"/>
  <c r="AG140" i="11"/>
  <c r="AG141" i="11"/>
  <c r="AG142" i="11"/>
  <c r="AG143" i="11"/>
  <c r="AG144" i="11"/>
  <c r="AG145" i="11"/>
  <c r="AG146" i="11"/>
  <c r="AG147" i="11"/>
  <c r="AG148" i="11"/>
  <c r="AG149" i="11"/>
  <c r="AG150" i="11"/>
  <c r="AG151" i="11"/>
  <c r="AG152" i="11"/>
  <c r="AG153" i="11"/>
  <c r="AG154" i="11"/>
  <c r="AG155" i="11"/>
  <c r="AG156" i="11"/>
  <c r="AG157" i="11"/>
  <c r="AG158" i="11"/>
  <c r="AG159" i="11"/>
  <c r="AG160" i="11"/>
  <c r="AG161" i="11"/>
  <c r="AG162" i="11"/>
  <c r="AG163" i="11"/>
  <c r="AG164" i="11"/>
  <c r="AG165" i="11"/>
  <c r="AG166" i="11"/>
  <c r="AG167" i="11"/>
  <c r="AG168" i="11"/>
  <c r="AG169" i="11"/>
  <c r="AG170" i="11"/>
  <c r="AG171" i="11"/>
  <c r="AG172" i="11"/>
  <c r="AG173" i="11"/>
  <c r="AG174" i="11"/>
  <c r="AG175" i="11"/>
  <c r="AG176" i="11"/>
  <c r="AG177" i="11"/>
  <c r="AG178" i="11"/>
  <c r="AG179" i="11"/>
  <c r="AG180" i="11"/>
  <c r="AG181" i="11"/>
  <c r="AG182" i="11"/>
  <c r="AG183" i="11"/>
  <c r="AG184" i="11"/>
  <c r="AG185" i="11"/>
  <c r="AG186" i="11"/>
  <c r="AG187" i="11"/>
  <c r="AG188" i="11"/>
  <c r="AG189" i="11"/>
  <c r="AG190" i="11"/>
  <c r="AG191" i="11"/>
  <c r="AG192" i="11"/>
  <c r="AG193" i="11"/>
  <c r="AG194" i="11"/>
  <c r="AG195" i="11"/>
  <c r="AG196" i="11"/>
  <c r="AG197" i="11"/>
  <c r="AG198" i="11"/>
  <c r="AG199" i="11"/>
  <c r="AG200" i="11"/>
  <c r="AG201" i="11"/>
  <c r="AG202" i="11"/>
  <c r="AG203" i="11"/>
  <c r="AG204" i="11"/>
  <c r="AG205" i="11"/>
  <c r="AG206" i="11"/>
  <c r="AG207" i="11"/>
  <c r="AG208" i="11"/>
  <c r="AG209" i="11"/>
  <c r="AG210" i="11"/>
  <c r="AG211" i="11"/>
  <c r="AG212" i="11"/>
  <c r="AG213" i="11"/>
  <c r="AG214" i="11"/>
  <c r="AG215" i="11"/>
  <c r="AG216" i="11"/>
  <c r="AG217" i="11"/>
  <c r="AG218" i="11"/>
  <c r="AG219" i="11"/>
  <c r="AG220" i="11"/>
  <c r="AG221" i="11"/>
  <c r="AG222" i="11"/>
  <c r="AG223" i="11"/>
  <c r="AG224" i="11"/>
  <c r="AG225" i="11"/>
  <c r="AG226" i="11"/>
  <c r="AG227" i="11"/>
  <c r="AG228" i="11"/>
  <c r="AG229" i="11"/>
  <c r="AG230" i="11"/>
  <c r="AG231" i="11"/>
  <c r="AG232" i="11"/>
  <c r="AG233" i="11"/>
  <c r="AG234" i="11"/>
  <c r="AG235" i="11"/>
  <c r="AG236" i="11"/>
  <c r="AG237" i="11"/>
  <c r="AG238" i="11"/>
  <c r="AG239" i="11"/>
  <c r="AG240" i="11"/>
  <c r="AG241" i="11"/>
  <c r="AG242" i="11"/>
  <c r="AG243" i="11"/>
  <c r="AG244" i="11"/>
  <c r="AG245" i="11"/>
  <c r="AG246" i="11"/>
  <c r="AG247" i="11"/>
  <c r="AG248" i="11"/>
  <c r="AG249" i="11"/>
  <c r="AG250" i="11"/>
  <c r="AG251" i="11"/>
  <c r="AG252" i="11"/>
  <c r="AG253" i="11"/>
  <c r="AG254" i="11"/>
  <c r="AG255" i="11"/>
  <c r="AG256" i="11"/>
  <c r="AG257" i="11"/>
  <c r="AG258" i="11"/>
  <c r="AG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157" i="1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Y172" i="11"/>
  <c r="Y173" i="1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Y189" i="11"/>
  <c r="Y190" i="11"/>
  <c r="Y191" i="11"/>
  <c r="Y192" i="11"/>
  <c r="Y193" i="11"/>
  <c r="Y194" i="11"/>
  <c r="Y195" i="11"/>
  <c r="Y196" i="11"/>
  <c r="Y197" i="11"/>
  <c r="Y198" i="11"/>
  <c r="Y199" i="11"/>
  <c r="Y200" i="11"/>
  <c r="Y201" i="11"/>
  <c r="Y202" i="11"/>
  <c r="Y203" i="11"/>
  <c r="Y204" i="11"/>
  <c r="Y205" i="11"/>
  <c r="Y206" i="11"/>
  <c r="Y207" i="11"/>
  <c r="Y208" i="11"/>
  <c r="Y209" i="11"/>
  <c r="Y210" i="11"/>
  <c r="Y211" i="11"/>
  <c r="Y212" i="11"/>
  <c r="Y213" i="11"/>
  <c r="Y214" i="11"/>
  <c r="Y215" i="11"/>
  <c r="Y216" i="11"/>
  <c r="Y217" i="11"/>
  <c r="Y218" i="11"/>
  <c r="Y219" i="11"/>
  <c r="Y220" i="11"/>
  <c r="Y221" i="11"/>
  <c r="Y222" i="11"/>
  <c r="Y223" i="11"/>
  <c r="Y224" i="11"/>
  <c r="Y225" i="11"/>
  <c r="Y226" i="11"/>
  <c r="Y227" i="11"/>
  <c r="Y228" i="11"/>
  <c r="Y229" i="11"/>
  <c r="Y230" i="11"/>
  <c r="Y231" i="11"/>
  <c r="Y232" i="11"/>
  <c r="Y233" i="11"/>
  <c r="Y234" i="11"/>
  <c r="Y235" i="11"/>
  <c r="Y236" i="11"/>
  <c r="Y237" i="11"/>
  <c r="Y238" i="11"/>
  <c r="Y239" i="11"/>
  <c r="Y240" i="11"/>
  <c r="Y241" i="11"/>
  <c r="Y242" i="11"/>
  <c r="Y243" i="11"/>
  <c r="Y244" i="11"/>
  <c r="Y245" i="11"/>
  <c r="Y246" i="11"/>
  <c r="Y247" i="11"/>
  <c r="Y248" i="11"/>
  <c r="Y249" i="11"/>
  <c r="Y250" i="11"/>
  <c r="Y251" i="11"/>
  <c r="Y252" i="11"/>
  <c r="Y253" i="11"/>
  <c r="Y254" i="11"/>
  <c r="Y255" i="11"/>
  <c r="Y256" i="11"/>
  <c r="Y257" i="11"/>
  <c r="Y258" i="11"/>
  <c r="Y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1" i="11"/>
  <c r="E258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1" i="11"/>
  <c r="E65" i="10"/>
  <c r="C65" i="10"/>
  <c r="E64" i="10"/>
  <c r="C64" i="10"/>
  <c r="E63" i="10"/>
  <c r="C63" i="10"/>
  <c r="E60" i="10"/>
  <c r="C60" i="10"/>
  <c r="E59" i="10"/>
  <c r="C59" i="10"/>
  <c r="E58" i="10"/>
  <c r="C58" i="10"/>
  <c r="E55" i="10"/>
  <c r="C55" i="10"/>
  <c r="E54" i="10"/>
  <c r="C54" i="10"/>
  <c r="E53" i="10"/>
  <c r="C53" i="10"/>
  <c r="E50" i="10"/>
  <c r="E49" i="10"/>
  <c r="E48" i="10"/>
  <c r="E45" i="10"/>
  <c r="C45" i="10"/>
  <c r="F44" i="10"/>
  <c r="E44" i="10"/>
  <c r="C44" i="10"/>
  <c r="E43" i="10"/>
  <c r="C43" i="10"/>
  <c r="E40" i="10"/>
  <c r="C40" i="10"/>
  <c r="E39" i="10"/>
  <c r="C39" i="10"/>
  <c r="F38" i="10"/>
  <c r="E38" i="10"/>
  <c r="C38" i="10"/>
  <c r="F35" i="10"/>
  <c r="E35" i="10"/>
  <c r="C35" i="10"/>
  <c r="E34" i="10"/>
  <c r="C34" i="10"/>
  <c r="E33" i="10"/>
  <c r="C33" i="10"/>
  <c r="B21" i="10"/>
  <c r="B20" i="10"/>
  <c r="B19" i="10"/>
  <c r="B18" i="10"/>
  <c r="B17" i="10"/>
  <c r="B16" i="10"/>
  <c r="D3" i="10"/>
  <c r="B45" i="8"/>
  <c r="E30" i="8"/>
  <c r="M17" i="8"/>
  <c r="L17" i="8"/>
  <c r="B40" i="8"/>
  <c r="G9" i="8"/>
  <c r="F9" i="8"/>
  <c r="E9" i="8"/>
  <c r="D9" i="8"/>
  <c r="C9" i="8"/>
  <c r="B9" i="8"/>
  <c r="B7" i="8"/>
  <c r="F32" i="8"/>
  <c r="F34" i="8"/>
  <c r="H34" i="3"/>
  <c r="G34" i="3"/>
  <c r="B34" i="7"/>
  <c r="H68" i="5"/>
  <c r="I68" i="5" s="1"/>
  <c r="J68" i="5" s="1"/>
  <c r="K68" i="5" s="1"/>
  <c r="L68" i="5" s="1"/>
  <c r="B68" i="5"/>
  <c r="F68" i="5"/>
  <c r="E68" i="5"/>
  <c r="D68" i="5"/>
  <c r="C68" i="5"/>
  <c r="B19" i="7"/>
  <c r="B21" i="7" s="1"/>
  <c r="F21" i="7"/>
  <c r="E21" i="7"/>
  <c r="D21" i="7"/>
  <c r="C21" i="7"/>
  <c r="F19" i="7"/>
  <c r="E19" i="7"/>
  <c r="D19" i="7"/>
  <c r="C19" i="7"/>
  <c r="B11" i="7"/>
  <c r="F14" i="7"/>
  <c r="E14" i="7"/>
  <c r="D14" i="7"/>
  <c r="C14" i="7"/>
  <c r="B14" i="7"/>
  <c r="F13" i="7"/>
  <c r="E13" i="7"/>
  <c r="D13" i="7"/>
  <c r="C13" i="7"/>
  <c r="B13" i="7"/>
  <c r="F12" i="7"/>
  <c r="E12" i="7"/>
  <c r="D12" i="7"/>
  <c r="C12" i="7"/>
  <c r="B12" i="7"/>
  <c r="F11" i="7"/>
  <c r="E11" i="7"/>
  <c r="D11" i="7"/>
  <c r="C11" i="7"/>
  <c r="B9" i="7"/>
  <c r="F9" i="7"/>
  <c r="E9" i="7"/>
  <c r="D9" i="7"/>
  <c r="C9" i="7"/>
  <c r="I63" i="5"/>
  <c r="I64" i="5"/>
  <c r="G63" i="5"/>
  <c r="F64" i="5"/>
  <c r="G64" i="5"/>
  <c r="B64" i="5"/>
  <c r="I61" i="5"/>
  <c r="J61" i="5" s="1"/>
  <c r="K61" i="5" s="1"/>
  <c r="L61" i="5" s="1"/>
  <c r="E64" i="5"/>
  <c r="D64" i="5"/>
  <c r="C64" i="5"/>
  <c r="B8" i="7"/>
  <c r="F8" i="7"/>
  <c r="E8" i="7"/>
  <c r="D8" i="7"/>
  <c r="C8" i="7"/>
  <c r="K9" i="3"/>
  <c r="J9" i="3"/>
  <c r="I9" i="3"/>
  <c r="H9" i="3"/>
  <c r="K8" i="3"/>
  <c r="J8" i="3"/>
  <c r="I8" i="3"/>
  <c r="H8" i="3"/>
  <c r="K7" i="3"/>
  <c r="J7" i="3"/>
  <c r="I7" i="3"/>
  <c r="H7" i="3"/>
  <c r="G9" i="3"/>
  <c r="G8" i="3"/>
  <c r="G7" i="3"/>
  <c r="K24" i="3"/>
  <c r="J24" i="3"/>
  <c r="I24" i="3"/>
  <c r="H24" i="3"/>
  <c r="G24" i="3"/>
  <c r="G67" i="3"/>
  <c r="K67" i="3"/>
  <c r="J67" i="3"/>
  <c r="I67" i="3"/>
  <c r="H67" i="3"/>
  <c r="G63" i="3"/>
  <c r="K63" i="3"/>
  <c r="J63" i="3"/>
  <c r="I63" i="3"/>
  <c r="H63" i="3"/>
  <c r="G61" i="3"/>
  <c r="K61" i="3"/>
  <c r="J61" i="3"/>
  <c r="I61" i="3"/>
  <c r="H61" i="3"/>
  <c r="G59" i="3"/>
  <c r="K59" i="3"/>
  <c r="J59" i="3"/>
  <c r="I59" i="3"/>
  <c r="H59" i="3"/>
  <c r="G64" i="3"/>
  <c r="G68" i="3"/>
  <c r="G62" i="3"/>
  <c r="G60" i="3"/>
  <c r="B68" i="3"/>
  <c r="E68" i="3"/>
  <c r="D68" i="3"/>
  <c r="C68" i="3"/>
  <c r="B64" i="3"/>
  <c r="E64" i="3"/>
  <c r="D64" i="3"/>
  <c r="C64" i="3"/>
  <c r="B62" i="3"/>
  <c r="E62" i="3"/>
  <c r="D62" i="3"/>
  <c r="C62" i="3"/>
  <c r="B60" i="3"/>
  <c r="E60" i="3"/>
  <c r="D60" i="3"/>
  <c r="C60" i="3"/>
  <c r="F67" i="3"/>
  <c r="E67" i="3"/>
  <c r="D67" i="3"/>
  <c r="C67" i="3"/>
  <c r="B67" i="3"/>
  <c r="F63" i="3"/>
  <c r="E63" i="3"/>
  <c r="D63" i="3"/>
  <c r="C63" i="3"/>
  <c r="B63" i="3"/>
  <c r="F61" i="3"/>
  <c r="E61" i="3"/>
  <c r="D61" i="3"/>
  <c r="C61" i="3"/>
  <c r="B61" i="3"/>
  <c r="B59" i="3"/>
  <c r="F59" i="3"/>
  <c r="E59" i="3"/>
  <c r="D59" i="3"/>
  <c r="C59" i="3"/>
  <c r="I32" i="8"/>
  <c r="H30" i="8"/>
  <c r="G30" i="8"/>
  <c r="F30" i="8"/>
  <c r="I28" i="8"/>
  <c r="E28" i="8"/>
  <c r="P28" i="8" s="1"/>
  <c r="I27" i="8"/>
  <c r="E27" i="8"/>
  <c r="I26" i="8"/>
  <c r="E26" i="8"/>
  <c r="Q25" i="8"/>
  <c r="I25" i="8"/>
  <c r="E25" i="8"/>
  <c r="Q24" i="8"/>
  <c r="I24" i="8"/>
  <c r="E24" i="8"/>
  <c r="Q23" i="8"/>
  <c r="P23" i="8"/>
  <c r="O23" i="8"/>
  <c r="N23" i="8"/>
  <c r="I23" i="8"/>
  <c r="M23" i="8" s="1"/>
  <c r="E23" i="8"/>
  <c r="I22" i="8"/>
  <c r="E22" i="8"/>
  <c r="N21" i="8"/>
  <c r="I21" i="8"/>
  <c r="E21" i="8"/>
  <c r="Q20" i="8"/>
  <c r="I20" i="8"/>
  <c r="E20" i="8"/>
  <c r="Q19" i="8"/>
  <c r="P19" i="8"/>
  <c r="I19" i="8"/>
  <c r="E19" i="8"/>
  <c r="Q18" i="8"/>
  <c r="P18" i="8"/>
  <c r="O18" i="8"/>
  <c r="I18" i="8"/>
  <c r="E18" i="8"/>
  <c r="Q17" i="8"/>
  <c r="P17" i="8"/>
  <c r="O17" i="8"/>
  <c r="N17" i="8"/>
  <c r="I17" i="8"/>
  <c r="E17" i="8"/>
  <c r="Q16" i="8"/>
  <c r="P16" i="8"/>
  <c r="O16" i="8"/>
  <c r="N16" i="8"/>
  <c r="M16" i="8"/>
  <c r="I16" i="8"/>
  <c r="I30" i="8" s="1"/>
  <c r="E16" i="8"/>
  <c r="Q14" i="8"/>
  <c r="P14" i="8"/>
  <c r="O14" i="8"/>
  <c r="N14" i="8"/>
  <c r="M14" i="8"/>
  <c r="F42" i="3"/>
  <c r="F40" i="3"/>
  <c r="F38" i="3"/>
  <c r="G36" i="3"/>
  <c r="G37" i="3"/>
  <c r="H37" i="3" s="1"/>
  <c r="I37" i="3" s="1"/>
  <c r="J37" i="3" s="1"/>
  <c r="K37" i="3" s="1"/>
  <c r="H36" i="3"/>
  <c r="I36" i="3" s="1"/>
  <c r="J36" i="3" s="1"/>
  <c r="K36" i="3" s="1"/>
  <c r="H33" i="3"/>
  <c r="I33" i="3" s="1"/>
  <c r="J33" i="3" s="1"/>
  <c r="K33" i="3" s="1"/>
  <c r="G33" i="3"/>
  <c r="F31" i="3"/>
  <c r="G30" i="3"/>
  <c r="H30" i="3" s="1"/>
  <c r="I30" i="3" s="1"/>
  <c r="J30" i="3" s="1"/>
  <c r="K30" i="3" s="1"/>
  <c r="H29" i="3"/>
  <c r="I29" i="3" s="1"/>
  <c r="J29" i="3" s="1"/>
  <c r="K29" i="3" s="1"/>
  <c r="G29" i="3"/>
  <c r="F26" i="3"/>
  <c r="G25" i="3"/>
  <c r="H25" i="3"/>
  <c r="I25" i="3" s="1"/>
  <c r="J25" i="3" s="1"/>
  <c r="K25" i="3" s="1"/>
  <c r="F20" i="3"/>
  <c r="G15" i="3"/>
  <c r="G19" i="3"/>
  <c r="H19" i="3" s="1"/>
  <c r="I19" i="3" s="1"/>
  <c r="J19" i="3" s="1"/>
  <c r="K19" i="3" s="1"/>
  <c r="G18" i="3"/>
  <c r="H18" i="3" s="1"/>
  <c r="I18" i="3" s="1"/>
  <c r="J18" i="3" s="1"/>
  <c r="K18" i="3" s="1"/>
  <c r="G17" i="3"/>
  <c r="H17" i="3" s="1"/>
  <c r="I17" i="3" s="1"/>
  <c r="J17" i="3" s="1"/>
  <c r="K17" i="3" s="1"/>
  <c r="G16" i="3"/>
  <c r="H16" i="3" s="1"/>
  <c r="I16" i="3" s="1"/>
  <c r="J16" i="3" s="1"/>
  <c r="K16" i="3" s="1"/>
  <c r="H15" i="3"/>
  <c r="I15" i="3" s="1"/>
  <c r="J15" i="3" s="1"/>
  <c r="K15" i="3" s="1"/>
  <c r="G14" i="3"/>
  <c r="K14" i="3"/>
  <c r="J14" i="3"/>
  <c r="I14" i="3"/>
  <c r="H14" i="3"/>
  <c r="K13" i="3"/>
  <c r="J13" i="3"/>
  <c r="I13" i="3"/>
  <c r="H13" i="3"/>
  <c r="G13" i="3"/>
  <c r="F11" i="3"/>
  <c r="G10" i="3"/>
  <c r="H10" i="3"/>
  <c r="I10" i="3" s="1"/>
  <c r="J10" i="3" s="1"/>
  <c r="K10" i="3" s="1"/>
  <c r="G6" i="3"/>
  <c r="H6" i="3"/>
  <c r="I6" i="3" s="1"/>
  <c r="J6" i="3" s="1"/>
  <c r="K6" i="3" s="1"/>
  <c r="H20" i="5"/>
  <c r="G19" i="5"/>
  <c r="L20" i="5"/>
  <c r="K20" i="5"/>
  <c r="J20" i="5"/>
  <c r="I20" i="5"/>
  <c r="I17" i="5" s="1"/>
  <c r="G20" i="5"/>
  <c r="I19" i="5"/>
  <c r="L19" i="5"/>
  <c r="K19" i="5"/>
  <c r="J19" i="5"/>
  <c r="H19" i="5"/>
  <c r="L11" i="5"/>
  <c r="K11" i="5"/>
  <c r="J11" i="5"/>
  <c r="I11" i="5"/>
  <c r="H11" i="5"/>
  <c r="G11" i="5"/>
  <c r="H27" i="2"/>
  <c r="H28" i="2" s="1"/>
  <c r="I24" i="2" s="1"/>
  <c r="I26" i="2" s="1"/>
  <c r="H26" i="2"/>
  <c r="H24" i="2"/>
  <c r="I32" i="2"/>
  <c r="J32" i="2"/>
  <c r="K32" i="2" s="1"/>
  <c r="L32" i="2" s="1"/>
  <c r="H32" i="2"/>
  <c r="E32" i="2"/>
  <c r="D32" i="2"/>
  <c r="C32" i="2"/>
  <c r="B32" i="2"/>
  <c r="G18" i="2"/>
  <c r="H15" i="2"/>
  <c r="B21" i="2"/>
  <c r="F21" i="2"/>
  <c r="E21" i="2"/>
  <c r="D21" i="2"/>
  <c r="C21" i="2"/>
  <c r="H6" i="2"/>
  <c r="H8" i="2"/>
  <c r="H20" i="2" s="1"/>
  <c r="H9" i="2"/>
  <c r="I5" i="2" s="1"/>
  <c r="I6" i="2" s="1"/>
  <c r="H7" i="2"/>
  <c r="I7" i="2"/>
  <c r="L7" i="2"/>
  <c r="K7" i="2"/>
  <c r="J7" i="2"/>
  <c r="H5" i="2"/>
  <c r="I15" i="2"/>
  <c r="H13" i="2"/>
  <c r="I13" i="2" s="1"/>
  <c r="J13" i="2" s="1"/>
  <c r="K13" i="2" s="1"/>
  <c r="L13" i="2" s="1"/>
  <c r="B15" i="2"/>
  <c r="F15" i="2"/>
  <c r="E15" i="2"/>
  <c r="D15" i="2"/>
  <c r="C15" i="2"/>
  <c r="B13" i="2"/>
  <c r="F13" i="2"/>
  <c r="E13" i="2"/>
  <c r="D13" i="2"/>
  <c r="C13" i="2"/>
  <c r="E6" i="2"/>
  <c r="E7" i="2"/>
  <c r="B18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G46" i="5"/>
  <c r="F48" i="5"/>
  <c r="H46" i="5"/>
  <c r="I46" i="5" s="1"/>
  <c r="J46" i="5" s="1"/>
  <c r="K46" i="5" s="1"/>
  <c r="L46" i="5" s="1"/>
  <c r="F44" i="5"/>
  <c r="F38" i="5"/>
  <c r="F32" i="5"/>
  <c r="G26" i="5"/>
  <c r="H26" i="5"/>
  <c r="L26" i="5"/>
  <c r="K26" i="5"/>
  <c r="J26" i="5"/>
  <c r="I26" i="5"/>
  <c r="G18" i="5"/>
  <c r="F22" i="5"/>
  <c r="L17" i="5"/>
  <c r="K17" i="5"/>
  <c r="J17" i="5"/>
  <c r="H18" i="5"/>
  <c r="J55" i="5"/>
  <c r="I55" i="5"/>
  <c r="G55" i="5"/>
  <c r="K54" i="5"/>
  <c r="J54" i="5"/>
  <c r="J10" i="5"/>
  <c r="F13" i="5"/>
  <c r="L9" i="5"/>
  <c r="L13" i="5" s="1"/>
  <c r="L22" i="5" s="1"/>
  <c r="K9" i="5"/>
  <c r="K13" i="5" s="1"/>
  <c r="K22" i="5" s="1"/>
  <c r="J9" i="5"/>
  <c r="J13" i="5" s="1"/>
  <c r="J22" i="5" s="1"/>
  <c r="I9" i="5"/>
  <c r="I13" i="5" s="1"/>
  <c r="H10" i="5"/>
  <c r="L10" i="5"/>
  <c r="K10" i="5"/>
  <c r="I10" i="5"/>
  <c r="G10" i="5"/>
  <c r="L6" i="5"/>
  <c r="K6" i="5"/>
  <c r="J6" i="5"/>
  <c r="I6" i="5"/>
  <c r="G6" i="5"/>
  <c r="H6" i="5"/>
  <c r="E61" i="5"/>
  <c r="I57" i="5"/>
  <c r="J57" i="5" s="1"/>
  <c r="K57" i="5" s="1"/>
  <c r="L57" i="5" s="1"/>
  <c r="G61" i="5"/>
  <c r="G59" i="5"/>
  <c r="G57" i="5"/>
  <c r="B61" i="5"/>
  <c r="B59" i="5"/>
  <c r="F61" i="5"/>
  <c r="D61" i="5"/>
  <c r="C61" i="5"/>
  <c r="F59" i="5"/>
  <c r="E59" i="5"/>
  <c r="D59" i="5"/>
  <c r="C59" i="5"/>
  <c r="B57" i="5"/>
  <c r="F57" i="5"/>
  <c r="E57" i="5"/>
  <c r="D57" i="5"/>
  <c r="C57" i="5"/>
  <c r="B55" i="5"/>
  <c r="F55" i="5"/>
  <c r="E55" i="5"/>
  <c r="D55" i="5"/>
  <c r="C55" i="5"/>
  <c r="F54" i="5"/>
  <c r="L54" i="5"/>
  <c r="I54" i="5"/>
  <c r="G54" i="5"/>
  <c r="B54" i="5"/>
  <c r="E54" i="5"/>
  <c r="D54" i="5"/>
  <c r="C54" i="5"/>
  <c r="E18" i="5"/>
  <c r="E10" i="5"/>
  <c r="O29" i="6"/>
  <c r="P29" i="6" s="1"/>
  <c r="Q29" i="6" s="1"/>
  <c r="O25" i="6"/>
  <c r="P25" i="6" s="1"/>
  <c r="Q25" i="6" s="1"/>
  <c r="O21" i="6"/>
  <c r="P21" i="6" s="1"/>
  <c r="Q21" i="6" s="1"/>
  <c r="O17" i="6"/>
  <c r="P17" i="6" s="1"/>
  <c r="Q17" i="6" s="1"/>
  <c r="O13" i="6"/>
  <c r="P13" i="6" s="1"/>
  <c r="Q13" i="6" s="1"/>
  <c r="O9" i="6"/>
  <c r="P9" i="6" s="1"/>
  <c r="Q9" i="6" s="1"/>
  <c r="O5" i="6"/>
  <c r="N34" i="6"/>
  <c r="M34" i="6"/>
  <c r="N31" i="6"/>
  <c r="M29" i="6"/>
  <c r="N29" i="6" s="1"/>
  <c r="N27" i="6"/>
  <c r="M25" i="6"/>
  <c r="N25" i="6" s="1"/>
  <c r="N23" i="6"/>
  <c r="M21" i="6"/>
  <c r="N21" i="6" s="1"/>
  <c r="N19" i="6"/>
  <c r="M17" i="6"/>
  <c r="N17" i="6" s="1"/>
  <c r="N15" i="6"/>
  <c r="M13" i="6"/>
  <c r="N13" i="6" s="1"/>
  <c r="N11" i="6"/>
  <c r="M9" i="6"/>
  <c r="N9" i="6" s="1"/>
  <c r="N5" i="6"/>
  <c r="N7" i="6"/>
  <c r="K34" i="6"/>
  <c r="K31" i="6"/>
  <c r="K29" i="6" s="1"/>
  <c r="K27" i="6"/>
  <c r="K25" i="6"/>
  <c r="K23" i="6"/>
  <c r="K21" i="6"/>
  <c r="K19" i="6"/>
  <c r="K17" i="6" s="1"/>
  <c r="K15" i="6"/>
  <c r="K13" i="6"/>
  <c r="K11" i="6"/>
  <c r="K9" i="6" s="1"/>
  <c r="K7" i="6"/>
  <c r="K5" i="6"/>
  <c r="F7" i="6"/>
  <c r="M5" i="6"/>
  <c r="J5" i="6"/>
  <c r="C6" i="6"/>
  <c r="H6" i="6"/>
  <c r="D6" i="6"/>
  <c r="C20" i="12" l="1"/>
  <c r="E21" i="12"/>
  <c r="D21" i="12"/>
  <c r="C21" i="12"/>
  <c r="D20" i="12"/>
  <c r="E17" i="12"/>
  <c r="F17" i="12"/>
  <c r="D28" i="12"/>
  <c r="G17" i="12"/>
  <c r="C17" i="12"/>
  <c r="D43" i="12"/>
  <c r="F21" i="12"/>
  <c r="G19" i="12"/>
  <c r="G21" i="12" s="1"/>
  <c r="D17" i="12"/>
  <c r="L26" i="12"/>
  <c r="D42" i="12"/>
  <c r="E18" i="12"/>
  <c r="F63" i="10"/>
  <c r="C7" i="10"/>
  <c r="F59" i="10"/>
  <c r="F54" i="10"/>
  <c r="F53" i="10"/>
  <c r="F50" i="10"/>
  <c r="F49" i="10"/>
  <c r="F48" i="10"/>
  <c r="E18" i="10" s="1"/>
  <c r="F45" i="10"/>
  <c r="F43" i="10"/>
  <c r="E17" i="10" s="1"/>
  <c r="F40" i="10"/>
  <c r="F39" i="10"/>
  <c r="F34" i="10"/>
  <c r="F58" i="10"/>
  <c r="D20" i="10" s="1"/>
  <c r="E20" i="10" s="1"/>
  <c r="F55" i="10"/>
  <c r="F65" i="10"/>
  <c r="F64" i="10"/>
  <c r="F60" i="10"/>
  <c r="F33" i="10"/>
  <c r="I34" i="3"/>
  <c r="J64" i="5"/>
  <c r="N28" i="8"/>
  <c r="O28" i="8"/>
  <c r="Q28" i="8"/>
  <c r="M28" i="8"/>
  <c r="M27" i="8"/>
  <c r="N27" i="8"/>
  <c r="Q27" i="8"/>
  <c r="P27" i="8"/>
  <c r="O27" i="8"/>
  <c r="M26" i="8"/>
  <c r="N26" i="8"/>
  <c r="O26" i="8"/>
  <c r="P26" i="8"/>
  <c r="Q26" i="8"/>
  <c r="P25" i="8"/>
  <c r="M25" i="8"/>
  <c r="N25" i="8"/>
  <c r="O25" i="8"/>
  <c r="O24" i="8"/>
  <c r="N24" i="8"/>
  <c r="M24" i="8"/>
  <c r="P24" i="8"/>
  <c r="Q22" i="8"/>
  <c r="P22" i="8"/>
  <c r="O22" i="8"/>
  <c r="N22" i="8"/>
  <c r="M22" i="8"/>
  <c r="Q21" i="8"/>
  <c r="Q29" i="8" s="1"/>
  <c r="O21" i="8"/>
  <c r="M21" i="8"/>
  <c r="P21" i="8"/>
  <c r="P20" i="8"/>
  <c r="P29" i="8" s="1"/>
  <c r="M20" i="8"/>
  <c r="N20" i="8"/>
  <c r="O20" i="8"/>
  <c r="O19" i="8"/>
  <c r="M19" i="8"/>
  <c r="N19" i="8"/>
  <c r="M18" i="8"/>
  <c r="N18" i="8"/>
  <c r="N29" i="8" s="1"/>
  <c r="M29" i="8"/>
  <c r="I34" i="8"/>
  <c r="G17" i="5"/>
  <c r="H17" i="5" s="1"/>
  <c r="I22" i="5"/>
  <c r="G9" i="5"/>
  <c r="I27" i="2"/>
  <c r="I28" i="2"/>
  <c r="J24" i="2" s="1"/>
  <c r="J26" i="2" s="1"/>
  <c r="H18" i="2"/>
  <c r="H19" i="2" s="1"/>
  <c r="J15" i="2"/>
  <c r="I8" i="2"/>
  <c r="I18" i="5"/>
  <c r="P5" i="6"/>
  <c r="O34" i="6"/>
  <c r="J22" i="12" l="1"/>
  <c r="I22" i="12"/>
  <c r="C22" i="12"/>
  <c r="D22" i="12"/>
  <c r="L40" i="12"/>
  <c r="M26" i="12"/>
  <c r="E20" i="12"/>
  <c r="K22" i="12" s="1"/>
  <c r="F18" i="12"/>
  <c r="D19" i="10"/>
  <c r="E19" i="10" s="1"/>
  <c r="D21" i="10"/>
  <c r="E21" i="10" s="1"/>
  <c r="J34" i="3"/>
  <c r="J63" i="5"/>
  <c r="K64" i="5"/>
  <c r="O29" i="8"/>
  <c r="G13" i="5"/>
  <c r="H9" i="5"/>
  <c r="J27" i="2"/>
  <c r="J28" i="2" s="1"/>
  <c r="K24" i="2" s="1"/>
  <c r="K26" i="2" s="1"/>
  <c r="J8" i="2"/>
  <c r="K15" i="2"/>
  <c r="I20" i="2"/>
  <c r="I9" i="2"/>
  <c r="J5" i="2" s="1"/>
  <c r="J6" i="2" s="1"/>
  <c r="J18" i="5"/>
  <c r="K55" i="5"/>
  <c r="Q5" i="6"/>
  <c r="Q34" i="6" s="1"/>
  <c r="P34" i="6"/>
  <c r="C22" i="5"/>
  <c r="D22" i="5"/>
  <c r="E22" i="5"/>
  <c r="B22" i="5"/>
  <c r="B54" i="3"/>
  <c r="B53" i="3"/>
  <c r="E22" i="12" l="1"/>
  <c r="F20" i="12"/>
  <c r="G18" i="12"/>
  <c r="G20" i="12" s="1"/>
  <c r="N26" i="12"/>
  <c r="M40" i="12"/>
  <c r="K34" i="3"/>
  <c r="K63" i="5"/>
  <c r="L64" i="5"/>
  <c r="L63" i="5" s="1"/>
  <c r="H13" i="5"/>
  <c r="G22" i="5"/>
  <c r="K27" i="2"/>
  <c r="K28" i="2" s="1"/>
  <c r="L24" i="2" s="1"/>
  <c r="L26" i="2" s="1"/>
  <c r="J9" i="2"/>
  <c r="K5" i="2" s="1"/>
  <c r="K6" i="2" s="1"/>
  <c r="J20" i="2"/>
  <c r="K8" i="2"/>
  <c r="L15" i="2"/>
  <c r="L8" i="2" s="1"/>
  <c r="I18" i="2"/>
  <c r="I19" i="2"/>
  <c r="K18" i="5"/>
  <c r="L55" i="5"/>
  <c r="L18" i="5" s="1"/>
  <c r="C54" i="3"/>
  <c r="D54" i="3"/>
  <c r="E54" i="3"/>
  <c r="C53" i="3"/>
  <c r="D53" i="3"/>
  <c r="C48" i="3"/>
  <c r="D48" i="3"/>
  <c r="E48" i="3"/>
  <c r="E53" i="3" s="1"/>
  <c r="F48" i="3"/>
  <c r="B48" i="3"/>
  <c r="C27" i="2"/>
  <c r="D27" i="2"/>
  <c r="E27" i="2"/>
  <c r="B27" i="2"/>
  <c r="C28" i="2"/>
  <c r="C26" i="2" s="1"/>
  <c r="D28" i="2"/>
  <c r="E24" i="2" s="1"/>
  <c r="E28" i="2"/>
  <c r="F24" i="2" s="1"/>
  <c r="F28" i="2"/>
  <c r="B28" i="2"/>
  <c r="C9" i="2"/>
  <c r="D5" i="2" s="1"/>
  <c r="D9" i="2"/>
  <c r="E5" i="2" s="1"/>
  <c r="E9" i="2"/>
  <c r="F5" i="2" s="1"/>
  <c r="F9" i="2"/>
  <c r="B9" i="2"/>
  <c r="C5" i="2" s="1"/>
  <c r="C73" i="5"/>
  <c r="D73" i="5"/>
  <c r="D78" i="5" s="1"/>
  <c r="E73" i="5"/>
  <c r="E74" i="5" s="1"/>
  <c r="E77" i="5" s="1"/>
  <c r="C72" i="5"/>
  <c r="D72" i="5"/>
  <c r="E72" i="5"/>
  <c r="C71" i="5"/>
  <c r="D71" i="5"/>
  <c r="D76" i="5" s="1"/>
  <c r="E71" i="5"/>
  <c r="E76" i="5" s="1"/>
  <c r="D74" i="5"/>
  <c r="D77" i="5" s="1"/>
  <c r="B74" i="5"/>
  <c r="B76" i="5" s="1"/>
  <c r="B73" i="5"/>
  <c r="B78" i="5" s="1"/>
  <c r="B72" i="5"/>
  <c r="B77" i="5" s="1"/>
  <c r="B71" i="5"/>
  <c r="M22" i="12" l="1"/>
  <c r="D44" i="12"/>
  <c r="G22" i="12"/>
  <c r="D29" i="12"/>
  <c r="F22" i="12"/>
  <c r="C24" i="12" s="1"/>
  <c r="L22" i="12"/>
  <c r="N40" i="12"/>
  <c r="O26" i="12"/>
  <c r="H22" i="5"/>
  <c r="L27" i="2"/>
  <c r="L28" i="2" s="1"/>
  <c r="J18" i="2"/>
  <c r="J19" i="2"/>
  <c r="K9" i="2"/>
  <c r="L5" i="2" s="1"/>
  <c r="L6" i="2" s="1"/>
  <c r="K20" i="2"/>
  <c r="L9" i="2"/>
  <c r="L20" i="2"/>
  <c r="C76" i="5"/>
  <c r="F76" i="5" s="1"/>
  <c r="F11" i="5" s="1"/>
  <c r="E78" i="5"/>
  <c r="C8" i="2"/>
  <c r="C7" i="2" s="1"/>
  <c r="B26" i="2"/>
  <c r="B8" i="2"/>
  <c r="B7" i="2" s="1"/>
  <c r="F53" i="3"/>
  <c r="F54" i="3"/>
  <c r="E26" i="2"/>
  <c r="D26" i="2"/>
  <c r="B25" i="2"/>
  <c r="C24" i="2"/>
  <c r="C25" i="2" s="1"/>
  <c r="D24" i="2"/>
  <c r="E8" i="2"/>
  <c r="D8" i="2"/>
  <c r="D7" i="2" s="1"/>
  <c r="C74" i="5"/>
  <c r="C78" i="5" s="1"/>
  <c r="F78" i="5" s="1"/>
  <c r="F20" i="5" s="1"/>
  <c r="F27" i="2" s="1"/>
  <c r="F26" i="2" s="1"/>
  <c r="F25" i="2" s="1"/>
  <c r="D45" i="12" l="1"/>
  <c r="D47" i="12" s="1"/>
  <c r="D51" i="12" s="1"/>
  <c r="D53" i="12" s="1"/>
  <c r="I40" i="12" s="1"/>
  <c r="D30" i="12"/>
  <c r="D32" i="12" s="1"/>
  <c r="D36" i="12" s="1"/>
  <c r="D38" i="12" s="1"/>
  <c r="I26" i="12" s="1"/>
  <c r="O40" i="12"/>
  <c r="P26" i="12"/>
  <c r="K18" i="2"/>
  <c r="K19" i="2" s="1"/>
  <c r="L18" i="2"/>
  <c r="L19" i="2"/>
  <c r="C77" i="5"/>
  <c r="F77" i="5" s="1"/>
  <c r="F19" i="5" s="1"/>
  <c r="D25" i="2"/>
  <c r="E25" i="2"/>
  <c r="D6" i="2"/>
  <c r="C6" i="2"/>
  <c r="B6" i="2"/>
  <c r="Q26" i="12" l="1"/>
  <c r="P40" i="12"/>
  <c r="F8" i="2"/>
  <c r="F7" i="2" s="1"/>
  <c r="F6" i="2" s="1"/>
  <c r="R26" i="12" l="1"/>
  <c r="R40" i="12" s="1"/>
  <c r="Q40" i="12"/>
  <c r="C26" i="3"/>
  <c r="C31" i="3" s="1"/>
  <c r="D26" i="3"/>
  <c r="D31" i="3" s="1"/>
  <c r="E26" i="3"/>
  <c r="E31" i="3" s="1"/>
  <c r="B26" i="3"/>
  <c r="B31" i="3" s="1"/>
  <c r="C11" i="3"/>
  <c r="D11" i="3"/>
  <c r="D20" i="3" s="1"/>
  <c r="E11" i="3"/>
  <c r="E20" i="3" s="1"/>
  <c r="B11" i="3"/>
  <c r="B20" i="3" s="1"/>
  <c r="D38" i="3"/>
  <c r="D40" i="3" s="1"/>
  <c r="E38" i="3"/>
  <c r="E40" i="3" s="1"/>
  <c r="C38" i="3"/>
  <c r="C40" i="3" s="1"/>
  <c r="B38" i="3"/>
  <c r="B40" i="3" s="1"/>
  <c r="C20" i="3"/>
  <c r="A67" i="3"/>
  <c r="A63" i="3"/>
  <c r="A61" i="3"/>
  <c r="A59" i="3"/>
  <c r="F17" i="5"/>
  <c r="F9" i="5"/>
  <c r="F26" i="5"/>
  <c r="F30" i="5"/>
  <c r="F36" i="5"/>
  <c r="F42" i="5"/>
  <c r="C42" i="5"/>
  <c r="B42" i="5"/>
  <c r="C36" i="5"/>
  <c r="B36" i="5"/>
  <c r="C30" i="5"/>
  <c r="B30" i="5"/>
  <c r="C26" i="5"/>
  <c r="B26" i="5"/>
  <c r="C17" i="5"/>
  <c r="C18" i="5" s="1"/>
  <c r="B17" i="5"/>
  <c r="B18" i="5" s="1"/>
  <c r="C9" i="5"/>
  <c r="B9" i="5"/>
  <c r="E42" i="5"/>
  <c r="D42" i="5"/>
  <c r="E36" i="5"/>
  <c r="D36" i="5"/>
  <c r="E30" i="5"/>
  <c r="D30" i="5"/>
  <c r="E26" i="5"/>
  <c r="D26" i="5"/>
  <c r="E17" i="5"/>
  <c r="D17" i="5"/>
  <c r="D18" i="5" s="1"/>
  <c r="E9" i="5"/>
  <c r="D9" i="5"/>
  <c r="D13" i="5" s="1"/>
  <c r="J34" i="6"/>
  <c r="J29" i="6"/>
  <c r="J25" i="6"/>
  <c r="J21" i="6"/>
  <c r="J17" i="6"/>
  <c r="J13" i="6"/>
  <c r="J9" i="6"/>
  <c r="H30" i="6"/>
  <c r="H26" i="6"/>
  <c r="H22" i="6"/>
  <c r="H18" i="6"/>
  <c r="H14" i="6"/>
  <c r="H10" i="6"/>
  <c r="F31" i="6"/>
  <c r="F27" i="6"/>
  <c r="F23" i="6"/>
  <c r="F19" i="6"/>
  <c r="F15" i="6"/>
  <c r="F11" i="6"/>
  <c r="D30" i="6"/>
  <c r="E30" i="6"/>
  <c r="C30" i="6"/>
  <c r="D26" i="6"/>
  <c r="E26" i="6"/>
  <c r="C26" i="6"/>
  <c r="D22" i="6"/>
  <c r="E22" i="6"/>
  <c r="C22" i="6"/>
  <c r="D18" i="6"/>
  <c r="E18" i="6"/>
  <c r="C18" i="6"/>
  <c r="D14" i="6"/>
  <c r="E14" i="6"/>
  <c r="C14" i="6"/>
  <c r="D10" i="6"/>
  <c r="E10" i="6"/>
  <c r="C10" i="6"/>
  <c r="E6" i="6"/>
  <c r="H34" i="6"/>
  <c r="G34" i="6"/>
  <c r="C34" i="6"/>
  <c r="D34" i="6"/>
  <c r="E34" i="6"/>
  <c r="B34" i="6"/>
  <c r="F18" i="5" l="1"/>
  <c r="C13" i="5"/>
  <c r="B13" i="5"/>
  <c r="E13" i="5"/>
  <c r="D10" i="5"/>
  <c r="B42" i="3"/>
  <c r="B43" i="3" s="1"/>
  <c r="C42" i="3"/>
  <c r="C43" i="3" s="1"/>
  <c r="E42" i="3"/>
  <c r="E43" i="3" s="1"/>
  <c r="D42" i="3"/>
  <c r="D43" i="3" s="1"/>
  <c r="F43" i="3"/>
  <c r="C10" i="5"/>
  <c r="B10" i="5"/>
  <c r="F10" i="5"/>
  <c r="C32" i="5" l="1"/>
  <c r="B32" i="5"/>
  <c r="D32" i="5"/>
  <c r="E32" i="5"/>
  <c r="B38" i="5" l="1"/>
  <c r="D38" i="5"/>
  <c r="C38" i="5"/>
  <c r="E38" i="5"/>
  <c r="C44" i="5" l="1"/>
  <c r="C48" i="5" s="1"/>
  <c r="D44" i="5"/>
  <c r="D48" i="5" s="1"/>
  <c r="B44" i="5"/>
  <c r="B48" i="5" s="1"/>
  <c r="E44" i="5"/>
  <c r="E48" i="5" s="1"/>
  <c r="G5" i="3" l="1"/>
  <c r="H5" i="3"/>
  <c r="I5" i="3"/>
  <c r="J5" i="3"/>
  <c r="K5" i="3"/>
  <c r="G11" i="3"/>
  <c r="H11" i="3"/>
  <c r="I11" i="3"/>
  <c r="J11" i="3"/>
  <c r="K11" i="3"/>
  <c r="G20" i="3"/>
  <c r="H20" i="3"/>
  <c r="I20" i="3"/>
  <c r="J20" i="3"/>
  <c r="K20" i="3"/>
  <c r="G23" i="3"/>
  <c r="H23" i="3"/>
  <c r="I23" i="3"/>
  <c r="J23" i="3"/>
  <c r="K23" i="3"/>
  <c r="G26" i="3"/>
  <c r="H26" i="3"/>
  <c r="I26" i="3"/>
  <c r="J26" i="3"/>
  <c r="K26" i="3"/>
  <c r="G28" i="3"/>
  <c r="H28" i="3"/>
  <c r="I28" i="3"/>
  <c r="J28" i="3"/>
  <c r="K28" i="3"/>
  <c r="G31" i="3"/>
  <c r="H31" i="3"/>
  <c r="I31" i="3"/>
  <c r="J31" i="3"/>
  <c r="K31" i="3"/>
  <c r="G35" i="3"/>
  <c r="H35" i="3"/>
  <c r="I35" i="3"/>
  <c r="J35" i="3"/>
  <c r="K35" i="3"/>
  <c r="G38" i="3"/>
  <c r="H38" i="3"/>
  <c r="I38" i="3"/>
  <c r="J38" i="3"/>
  <c r="K38" i="3"/>
  <c r="G39" i="3"/>
  <c r="H39" i="3"/>
  <c r="I39" i="3"/>
  <c r="J39" i="3"/>
  <c r="K39" i="3"/>
  <c r="G40" i="3"/>
  <c r="H40" i="3"/>
  <c r="I40" i="3"/>
  <c r="J40" i="3"/>
  <c r="K40" i="3"/>
  <c r="G42" i="3"/>
  <c r="H42" i="3"/>
  <c r="I42" i="3"/>
  <c r="J42" i="3"/>
  <c r="K42" i="3"/>
  <c r="G43" i="3"/>
  <c r="H43" i="3"/>
  <c r="I43" i="3"/>
  <c r="J43" i="3"/>
  <c r="K43" i="3"/>
  <c r="B7" i="7"/>
  <c r="C7" i="7"/>
  <c r="D7" i="7"/>
  <c r="E7" i="7"/>
  <c r="F7" i="7"/>
  <c r="B16" i="7"/>
  <c r="C16" i="7"/>
  <c r="D16" i="7"/>
  <c r="E16" i="7"/>
  <c r="F16" i="7"/>
  <c r="B24" i="7"/>
  <c r="C24" i="7"/>
  <c r="D24" i="7"/>
  <c r="E24" i="7"/>
  <c r="F24" i="7"/>
  <c r="B25" i="7"/>
  <c r="C25" i="7"/>
  <c r="D25" i="7"/>
  <c r="E25" i="7"/>
  <c r="F25" i="7"/>
  <c r="B27" i="7"/>
  <c r="C27" i="7"/>
  <c r="D27" i="7"/>
  <c r="E27" i="7"/>
  <c r="F27" i="7"/>
  <c r="B28" i="7"/>
  <c r="C28" i="7"/>
  <c r="D28" i="7"/>
  <c r="E28" i="7"/>
  <c r="F28" i="7"/>
  <c r="B31" i="7"/>
  <c r="C31" i="7"/>
  <c r="D31" i="7"/>
  <c r="E31" i="7"/>
  <c r="F31" i="7"/>
  <c r="B33" i="7"/>
  <c r="C33" i="7"/>
  <c r="D33" i="7"/>
  <c r="E33" i="7"/>
  <c r="F33" i="7"/>
  <c r="C34" i="7"/>
  <c r="D34" i="7"/>
  <c r="E34" i="7"/>
  <c r="F34" i="7"/>
  <c r="B35" i="7"/>
  <c r="C35" i="7"/>
  <c r="D35" i="7"/>
  <c r="E35" i="7"/>
  <c r="F35" i="7"/>
  <c r="B6" i="8"/>
  <c r="C6" i="8"/>
  <c r="D6" i="8"/>
  <c r="E6" i="8"/>
  <c r="F6" i="8"/>
  <c r="C7" i="8"/>
  <c r="D7" i="8"/>
  <c r="E7" i="8"/>
  <c r="F7" i="8"/>
  <c r="B8" i="8"/>
  <c r="C8" i="8"/>
  <c r="D8" i="8"/>
  <c r="E8" i="8"/>
  <c r="F8" i="8"/>
  <c r="B10" i="8"/>
  <c r="C10" i="8"/>
  <c r="D10" i="8"/>
  <c r="E10" i="8"/>
  <c r="F10" i="8"/>
  <c r="C40" i="8"/>
  <c r="D40" i="8"/>
  <c r="E40" i="8"/>
  <c r="F40" i="8"/>
  <c r="B41" i="8"/>
  <c r="C41" i="8"/>
  <c r="D41" i="8"/>
  <c r="E41" i="8"/>
  <c r="F41" i="8"/>
  <c r="B42" i="8"/>
  <c r="C42" i="8"/>
  <c r="D42" i="8"/>
  <c r="E42" i="8"/>
  <c r="F42" i="8"/>
  <c r="B43" i="8"/>
  <c r="C43" i="8"/>
  <c r="D43" i="8"/>
  <c r="E43" i="8"/>
  <c r="F43" i="8"/>
  <c r="B47" i="8"/>
  <c r="C47" i="8"/>
  <c r="D47" i="8"/>
  <c r="E47" i="8"/>
  <c r="F47" i="8"/>
  <c r="B49" i="8"/>
  <c r="C49" i="8"/>
  <c r="D49" i="8"/>
  <c r="E49" i="8"/>
  <c r="F49" i="8"/>
  <c r="B50" i="8"/>
  <c r="C50" i="8"/>
  <c r="D50" i="8"/>
  <c r="E50" i="8"/>
  <c r="F50" i="8"/>
  <c r="B51" i="8"/>
  <c r="C51" i="8"/>
  <c r="D51" i="8"/>
  <c r="E51" i="8"/>
  <c r="F51" i="8"/>
  <c r="G30" i="5"/>
  <c r="H30" i="5"/>
  <c r="I30" i="5"/>
  <c r="J30" i="5"/>
  <c r="K30" i="5"/>
  <c r="L30" i="5"/>
  <c r="G32" i="5"/>
  <c r="H32" i="5"/>
  <c r="I32" i="5"/>
  <c r="J32" i="5"/>
  <c r="K32" i="5"/>
  <c r="L32" i="5"/>
  <c r="G36" i="5"/>
  <c r="H36" i="5"/>
  <c r="I36" i="5"/>
  <c r="J36" i="5"/>
  <c r="K36" i="5"/>
  <c r="L36" i="5"/>
  <c r="G38" i="5"/>
  <c r="H38" i="5"/>
  <c r="I38" i="5"/>
  <c r="J38" i="5"/>
  <c r="K38" i="5"/>
  <c r="L38" i="5"/>
  <c r="G42" i="5"/>
  <c r="H42" i="5"/>
  <c r="I42" i="5"/>
  <c r="J42" i="5"/>
  <c r="K42" i="5"/>
  <c r="L42" i="5"/>
  <c r="G44" i="5"/>
  <c r="H44" i="5"/>
  <c r="I44" i="5"/>
  <c r="J44" i="5"/>
  <c r="K44" i="5"/>
  <c r="L44" i="5"/>
  <c r="G48" i="5"/>
  <c r="H48" i="5"/>
  <c r="I48" i="5"/>
  <c r="J48" i="5"/>
  <c r="K48" i="5"/>
  <c r="L48" i="5"/>
  <c r="G67" i="5"/>
  <c r="H67" i="5"/>
  <c r="I67" i="5"/>
  <c r="J67" i="5"/>
  <c r="K67" i="5"/>
  <c r="L6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/>
  </authors>
  <commentList>
    <comment ref="D27" authorId="0" shapeId="0" xr:uid="{CDB365E9-DE5D-44A2-913A-1E553EA25044}">
      <text>
        <r>
          <rPr>
            <b/>
            <sz val="9"/>
            <color indexed="81"/>
            <rFont val="Tahoma"/>
            <family val="2"/>
          </rPr>
          <t>US GDP growth rate 2022</t>
        </r>
      </text>
    </comment>
    <comment ref="D41" authorId="1" shapeId="0" xr:uid="{D44F4FF4-F462-4F29-97C9-DBD34793201A}">
      <text>
        <r>
          <rPr>
            <sz val="11"/>
            <color theme="1"/>
            <rFont val="Calibri"/>
            <family val="2"/>
            <scheme val="minor"/>
          </rPr>
          <t>https://pages.stern.nyu.edu/~adamodar/New_Home_Page/datafile/vebitda.html
Average of Beverages (Soft) + Food Processing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Admin</author>
  </authors>
  <commentList>
    <comment ref="D6" authorId="0" shapeId="0" xr:uid="{E1C2C229-31D0-40AD-940B-D49A6D550E2A}">
      <text>
        <r>
          <rPr>
            <sz val="11"/>
            <color theme="1"/>
            <rFont val="Calibri"/>
            <family val="2"/>
            <scheme val="minor"/>
          </rPr>
          <t>US 10 year bond yield</t>
        </r>
      </text>
    </comment>
    <comment ref="H6" authorId="0" shapeId="0" xr:uid="{3F5A3CD9-2EEA-43E1-8C2E-AD068936FB29}">
      <text>
        <r>
          <rPr>
            <sz val="11"/>
            <color theme="1"/>
            <rFont val="Calibri"/>
            <family val="2"/>
            <scheme val="minor"/>
          </rPr>
          <t>Company Default Spreads file rating- credit spread
Credit rating is A by S&amp;P and A2 Moody's from 10K 2022 -Pg:100</t>
        </r>
      </text>
    </comment>
    <comment ref="H7" authorId="1" shapeId="0" xr:uid="{FD75007B-F3EF-4088-BE39-1ECB0197B9E0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D8" authorId="1" shapeId="0" xr:uid="{DBBAA773-D0EA-4BE9-84D1-2C183225CC49}">
      <text>
        <r>
          <rPr>
            <b/>
            <sz val="9"/>
            <color indexed="81"/>
            <rFont val="Tahoma"/>
            <family val="2"/>
          </rPr>
          <t xml:space="preserve">ERP Damodaran file
Sheet- ERPs by country
</t>
        </r>
      </text>
    </comment>
    <comment ref="F16" authorId="1" shapeId="0" xr:uid="{20000195-0713-41D6-8990-F338C3DC0420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F17" authorId="1" shapeId="0" xr:uid="{756F7429-F991-43DA-B50A-D255FB09ABB7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F18" authorId="1" shapeId="0" xr:uid="{2D961B2D-9203-45F0-8E05-E2276FB2A04C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F19" authorId="1" shapeId="0" xr:uid="{9264848C-9A4E-4F62-AA64-B87D1D2461C6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F20" authorId="1" shapeId="0" xr:uid="{89D445A8-92B2-4924-B22F-666BB00B99A2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F21" authorId="1" shapeId="0" xr:uid="{96A07EC0-9FC7-4096-A980-EC031AD75C85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F25" authorId="1" shapeId="0" xr:uid="{911B3587-6D72-4633-89CB-AE9DFD8E1861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C33" authorId="0" shapeId="0" xr:uid="{2C0766D3-512A-4D01-AE3F-42F17BDD92BE}">
      <text>
        <r>
          <rPr>
            <sz val="11"/>
            <color theme="1"/>
            <rFont val="Calibri"/>
            <family val="2"/>
            <scheme val="minor"/>
          </rPr>
          <t xml:space="preserve">10Q July 2023, Pg 7
Short term Debt + Current Maturities of long term loan + long term Debt
</t>
        </r>
      </text>
    </comment>
    <comment ref="D33" authorId="1" shapeId="0" xr:uid="{86D2FD6F-694A-468F-AB5D-6D0D4C30DDF4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33" authorId="1" shapeId="0" xr:uid="{CED47770-B1AA-4203-874B-0208B9BDBC74}">
      <text>
        <r>
          <rPr>
            <b/>
            <sz val="9"/>
            <color indexed="81"/>
            <rFont val="Tahoma"/>
            <family val="2"/>
          </rPr>
          <t>10Q July 2023, Pg 2</t>
        </r>
      </text>
    </comment>
    <comment ref="F33" authorId="1" shapeId="0" xr:uid="{817AB2EB-C82B-4720-BC4D-06DF1BF2668A}">
      <text>
        <r>
          <rPr>
            <b/>
            <sz val="9"/>
            <color indexed="81"/>
            <rFont val="Tahoma"/>
            <family val="2"/>
          </rPr>
          <t xml:space="preserve">Calculation
</t>
        </r>
      </text>
    </comment>
    <comment ref="G33" authorId="1" shapeId="0" xr:uid="{EF766B71-117D-4AC6-A1C4-03B591D60737}">
      <text>
        <r>
          <rPr>
            <b/>
            <sz val="9"/>
            <color indexed="81"/>
            <rFont val="Tahoma"/>
            <family val="2"/>
          </rPr>
          <t>https://kpmg.com/sg/en/home/services/tax/tax-tools-and-resources/tax-rates-online/corporate-tax-rates-table.html
Check for United States- it is 27%</t>
        </r>
      </text>
    </comment>
    <comment ref="C34" authorId="0" shapeId="0" xr:uid="{70B7BE92-A97C-461A-B09A-19CCB966DA1A}">
      <text>
        <r>
          <rPr>
            <sz val="11"/>
            <color theme="1"/>
            <rFont val="Calibri"/>
            <family val="2"/>
            <scheme val="minor"/>
          </rPr>
          <t xml:space="preserve">10Q July 2022, Pg 7
Short term Debt + Current Maturities of long term loan + long term Debt
</t>
        </r>
      </text>
    </comment>
    <comment ref="E34" authorId="1" shapeId="0" xr:uid="{F69F9C66-16E5-4695-B5C4-E9616DCB0B69}">
      <text>
        <r>
          <rPr>
            <b/>
            <sz val="9"/>
            <color indexed="81"/>
            <rFont val="Tahoma"/>
            <family val="2"/>
          </rPr>
          <t>10Q July 2022, Pg 2</t>
        </r>
      </text>
    </comment>
    <comment ref="C35" authorId="0" shapeId="0" xr:uid="{335BF9C2-4A50-43EA-B191-AC7D2C3537E3}">
      <text>
        <r>
          <rPr>
            <sz val="11"/>
            <color theme="1"/>
            <rFont val="Calibri"/>
            <family val="2"/>
            <scheme val="minor"/>
          </rPr>
          <t>10Q July 2021, Pg 7 
Short term Debt + Current Maturities of long term loan + long term Debt</t>
        </r>
      </text>
    </comment>
    <comment ref="E35" authorId="1" shapeId="0" xr:uid="{6841BA0F-1F14-4008-B0B8-786D02AFE1BB}">
      <text>
        <r>
          <rPr>
            <b/>
            <sz val="9"/>
            <color indexed="81"/>
            <rFont val="Tahoma"/>
            <family val="2"/>
          </rPr>
          <t>10Q July 2021, Pg 2</t>
        </r>
      </text>
    </comment>
    <comment ref="C38" authorId="0" shapeId="0" xr:uid="{224E0431-641B-4A35-97B5-10B5B3E8D9EA}">
      <text>
        <r>
          <rPr>
            <sz val="11"/>
            <color theme="1"/>
            <rFont val="Calibri"/>
            <family val="2"/>
            <scheme val="minor"/>
          </rPr>
          <t xml:space="preserve">10Q July 2023, Pg 8
Short term Debt + long term Debt
</t>
        </r>
      </text>
    </comment>
    <comment ref="D38" authorId="1" shapeId="0" xr:uid="{5171237B-19EE-43A0-AAF4-E2FDBB4E2D29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38" authorId="1" shapeId="0" xr:uid="{3684B133-56D2-4F71-9917-0CE54AEDD632}">
      <text>
        <r>
          <rPr>
            <b/>
            <sz val="9"/>
            <color indexed="81"/>
            <rFont val="Tahoma"/>
            <family val="2"/>
          </rPr>
          <t>10Q July 2023, Pg 2</t>
        </r>
      </text>
    </comment>
    <comment ref="C39" authorId="0" shapeId="0" xr:uid="{7C63C691-D22B-42DC-AAE6-AF878CC5B76F}">
      <text>
        <r>
          <rPr>
            <sz val="11"/>
            <color theme="1"/>
            <rFont val="Calibri"/>
            <family val="2"/>
            <scheme val="minor"/>
          </rPr>
          <t>10Q July 2022, Pg 8
Short term Debt + long term Debt</t>
        </r>
      </text>
    </comment>
    <comment ref="E39" authorId="1" shapeId="0" xr:uid="{7371924B-C700-4ACA-BA85-4863E42E5266}">
      <text>
        <r>
          <rPr>
            <b/>
            <sz val="9"/>
            <color indexed="81"/>
            <rFont val="Tahoma"/>
            <family val="2"/>
          </rPr>
          <t>10Q July 2022, Pg 2</t>
        </r>
      </text>
    </comment>
    <comment ref="C40" authorId="0" shapeId="0" xr:uid="{BD1295D7-D088-400D-A0AB-842A534DFF78}">
      <text>
        <r>
          <rPr>
            <sz val="11"/>
            <color theme="1"/>
            <rFont val="Calibri"/>
            <family val="2"/>
            <scheme val="minor"/>
          </rPr>
          <t>10Q July 2021, Pg 8
Short term Debt + long term Debt</t>
        </r>
      </text>
    </comment>
    <comment ref="E40" authorId="1" shapeId="0" xr:uid="{06086531-1E16-49CD-83EC-D39620545054}">
      <text>
        <r>
          <rPr>
            <b/>
            <sz val="9"/>
            <color indexed="81"/>
            <rFont val="Tahoma"/>
            <family val="2"/>
          </rPr>
          <t>10Q July 2021, Pg 2</t>
        </r>
      </text>
    </comment>
    <comment ref="C43" authorId="0" shapeId="0" xr:uid="{AF9231D9-C1CC-490A-990F-09723F2457E4}">
      <text>
        <r>
          <rPr>
            <sz val="11"/>
            <color theme="1"/>
            <rFont val="Calibri"/>
            <family val="2"/>
            <scheme val="minor"/>
          </rPr>
          <t>10Q July 2023, Pg 6
Short term Debt + long term Debt</t>
        </r>
      </text>
    </comment>
    <comment ref="D43" authorId="1" shapeId="0" xr:uid="{C245F814-CD84-44FA-BE96-B710C9824326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43" authorId="1" shapeId="0" xr:uid="{9676C1AE-2D96-48F8-8ABA-9E6DD6C4B45E}">
      <text>
        <r>
          <rPr>
            <b/>
            <sz val="9"/>
            <color indexed="81"/>
            <rFont val="Tahoma"/>
            <family val="2"/>
          </rPr>
          <t>10Q July 2023, Pg 1</t>
        </r>
      </text>
    </comment>
    <comment ref="C44" authorId="0" shapeId="0" xr:uid="{6079860C-2F14-4FDF-BADC-A6B6FBB57755}">
      <text>
        <r>
          <rPr>
            <sz val="11"/>
            <color theme="1"/>
            <rFont val="Calibri"/>
            <family val="2"/>
            <scheme val="minor"/>
          </rPr>
          <t>10Q July 2022, Pg 6
Short term Debt + long term Debt</t>
        </r>
      </text>
    </comment>
    <comment ref="E44" authorId="1" shapeId="0" xr:uid="{02923834-BDB3-4001-868C-3FDB53778981}">
      <text>
        <r>
          <rPr>
            <b/>
            <sz val="9"/>
            <color indexed="81"/>
            <rFont val="Tahoma"/>
            <family val="2"/>
          </rPr>
          <t>10Q July 2022, Pg 1</t>
        </r>
      </text>
    </comment>
    <comment ref="C45" authorId="0" shapeId="0" xr:uid="{9E2BA591-3221-4AF4-8190-88E6AEB2C1A6}">
      <text>
        <r>
          <rPr>
            <sz val="11"/>
            <color theme="1"/>
            <rFont val="Calibri"/>
            <family val="2"/>
            <scheme val="minor"/>
          </rPr>
          <t>10Q July 2021, Pg 6
Short term Debt + long term Debt</t>
        </r>
      </text>
    </comment>
    <comment ref="E45" authorId="1" shapeId="0" xr:uid="{72E70955-686A-4B33-A54E-B422600720EF}">
      <text>
        <r>
          <rPr>
            <b/>
            <sz val="9"/>
            <color indexed="81"/>
            <rFont val="Tahoma"/>
            <family val="2"/>
          </rPr>
          <t>10Q July 2021, Pg 1</t>
        </r>
      </text>
    </comment>
    <comment ref="C48" authorId="0" shapeId="0" xr:uid="{2E433166-78B9-4155-9784-2A768F802F8A}">
      <text>
        <r>
          <rPr>
            <sz val="11"/>
            <color theme="1"/>
            <rFont val="Calibri"/>
            <family val="2"/>
            <scheme val="minor"/>
          </rPr>
          <t xml:space="preserve">Unlevered Firm
</t>
        </r>
      </text>
    </comment>
    <comment ref="D48" authorId="1" shapeId="0" xr:uid="{4AB1F376-65F5-4DAB-895A-D993AC6E5D61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48" authorId="1" shapeId="0" xr:uid="{0734C5DA-B173-45C9-A93A-4A4DC61766F6}">
      <text>
        <r>
          <rPr>
            <b/>
            <sz val="9"/>
            <color indexed="81"/>
            <rFont val="Tahoma"/>
            <family val="2"/>
          </rPr>
          <t>10Q May 2023, Pg 1</t>
        </r>
      </text>
    </comment>
    <comment ref="C49" authorId="0" shapeId="0" xr:uid="{6B9C7C1A-53BA-467F-8A23-97C42A81A46E}">
      <text>
        <r>
          <rPr>
            <sz val="11"/>
            <color theme="1"/>
            <rFont val="Calibri"/>
            <family val="2"/>
            <scheme val="minor"/>
          </rPr>
          <t>Unlevered Firm</t>
        </r>
      </text>
    </comment>
    <comment ref="E49" authorId="1" shapeId="0" xr:uid="{414662D8-4830-4487-BF97-F9B105F6F364}">
      <text>
        <r>
          <rPr>
            <b/>
            <sz val="9"/>
            <color indexed="81"/>
            <rFont val="Tahoma"/>
            <family val="2"/>
          </rPr>
          <t>10Q May 2022, Pg 1</t>
        </r>
      </text>
    </comment>
    <comment ref="C50" authorId="0" shapeId="0" xr:uid="{F7D480F0-8ABB-4A8C-8C67-54723A75CEC4}">
      <text>
        <r>
          <rPr>
            <sz val="11"/>
            <color theme="1"/>
            <rFont val="Calibri"/>
            <family val="2"/>
            <scheme val="minor"/>
          </rPr>
          <t>Unlevered Firm</t>
        </r>
      </text>
    </comment>
    <comment ref="E50" authorId="1" shapeId="0" xr:uid="{3AE5A89B-FED5-4EB1-8D5C-9AA857835B7F}">
      <text>
        <r>
          <rPr>
            <b/>
            <sz val="9"/>
            <color indexed="81"/>
            <rFont val="Tahoma"/>
            <family val="2"/>
          </rPr>
          <t>10Q May 2021, Pg 1</t>
        </r>
      </text>
    </comment>
    <comment ref="C53" authorId="0" shapeId="0" xr:uid="{E7548940-ED75-44D4-8783-69C19A94BE65}">
      <text>
        <r>
          <rPr>
            <sz val="11"/>
            <color theme="1"/>
            <rFont val="Calibri"/>
            <family val="2"/>
            <scheme val="minor"/>
          </rPr>
          <t xml:space="preserve">10Q July 2023, Pg 6
Short term Debt + Current Maturities of long term loan + long term Debt
</t>
        </r>
      </text>
    </comment>
    <comment ref="D53" authorId="1" shapeId="0" xr:uid="{18E4211D-6B84-42A2-818B-638E61924C08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53" authorId="1" shapeId="0" xr:uid="{23A17F96-AF58-4349-860D-20D6519C8D98}">
      <text>
        <r>
          <rPr>
            <b/>
            <sz val="9"/>
            <color indexed="81"/>
            <rFont val="Tahoma"/>
            <family val="2"/>
          </rPr>
          <t>10Q July 2023, Pg 2</t>
        </r>
      </text>
    </comment>
    <comment ref="C54" authorId="0" shapeId="0" xr:uid="{0C3ED378-2639-41DB-AA7B-1BA64232A8C3}">
      <text>
        <r>
          <rPr>
            <sz val="11"/>
            <color theme="1"/>
            <rFont val="Calibri"/>
            <family val="2"/>
            <scheme val="minor"/>
          </rPr>
          <t>10Q July 2022, Pg 6
Short term Debt + Current Maturities of long term loan + long term Debt</t>
        </r>
      </text>
    </comment>
    <comment ref="E54" authorId="1" shapeId="0" xr:uid="{46B4EE85-6AEC-4621-AFE7-C7AF62AE0633}">
      <text>
        <r>
          <rPr>
            <b/>
            <sz val="9"/>
            <color indexed="81"/>
            <rFont val="Tahoma"/>
            <family val="2"/>
          </rPr>
          <t>10Q July 2022, Pg 2</t>
        </r>
      </text>
    </comment>
    <comment ref="C55" authorId="0" shapeId="0" xr:uid="{3387EDE5-BC9E-4C53-B704-96B177D84E67}">
      <text>
        <r>
          <rPr>
            <sz val="11"/>
            <color theme="1"/>
            <rFont val="Calibri"/>
            <family val="2"/>
            <scheme val="minor"/>
          </rPr>
          <t>10Q July 2021, Pg 6
Short term Debt + Current Maturities of long term loan + long term Debt</t>
        </r>
      </text>
    </comment>
    <comment ref="E55" authorId="1" shapeId="0" xr:uid="{16584A95-B45B-489A-86B9-7A6E34A04583}">
      <text>
        <r>
          <rPr>
            <b/>
            <sz val="9"/>
            <color indexed="81"/>
            <rFont val="Tahoma"/>
            <family val="2"/>
          </rPr>
          <t>10Q July 2021, Pg 2</t>
        </r>
      </text>
    </comment>
    <comment ref="C58" authorId="0" shapeId="0" xr:uid="{49D2950E-5012-49C7-8A0A-92F1E8245A48}">
      <text>
        <r>
          <rPr>
            <sz val="11"/>
            <color theme="1"/>
            <rFont val="Calibri"/>
            <family val="2"/>
            <scheme val="minor"/>
          </rPr>
          <t>10Q July 2023, Pg 5
Short term Debt + Current Maturities of long term loan + long term Debt</t>
        </r>
      </text>
    </comment>
    <comment ref="D58" authorId="1" shapeId="0" xr:uid="{5450F086-A84E-4B6E-B7F2-B113CE0A0AA5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58" authorId="1" shapeId="0" xr:uid="{BBF1B800-2836-460D-89AA-76DE8E8BBC47}">
      <text>
        <r>
          <rPr>
            <b/>
            <sz val="9"/>
            <color indexed="81"/>
            <rFont val="Tahoma"/>
            <family val="2"/>
          </rPr>
          <t>10Q July 2023, Pg 1</t>
        </r>
      </text>
    </comment>
    <comment ref="C59" authorId="0" shapeId="0" xr:uid="{E37C07E0-C5B3-4503-BFB4-47244EA024A2}">
      <text>
        <r>
          <rPr>
            <sz val="11"/>
            <color theme="1"/>
            <rFont val="Calibri"/>
            <family val="2"/>
            <scheme val="minor"/>
          </rPr>
          <t>10Q July 2022, Pg 5
Short term Debt + Current Maturities of long term loan + long term Debt</t>
        </r>
      </text>
    </comment>
    <comment ref="E59" authorId="1" shapeId="0" xr:uid="{38F491B8-30D0-406F-8E31-4B74CAE2C315}">
      <text>
        <r>
          <rPr>
            <b/>
            <sz val="9"/>
            <color indexed="81"/>
            <rFont val="Tahoma"/>
            <family val="2"/>
          </rPr>
          <t>10Q July 2022, Pg 1</t>
        </r>
      </text>
    </comment>
    <comment ref="C60" authorId="0" shapeId="0" xr:uid="{59864780-8611-4E93-A21F-0EF6E909F367}">
      <text>
        <r>
          <rPr>
            <sz val="11"/>
            <color theme="1"/>
            <rFont val="Calibri"/>
            <family val="2"/>
            <scheme val="minor"/>
          </rPr>
          <t>10Q July 2021, Pg 5
Short term Debt + Current Maturities of long term loan + long term Debt</t>
        </r>
      </text>
    </comment>
    <comment ref="E60" authorId="1" shapeId="0" xr:uid="{FC0E1358-2009-41E6-B210-A405FED5523B}">
      <text>
        <r>
          <rPr>
            <b/>
            <sz val="9"/>
            <color indexed="81"/>
            <rFont val="Tahoma"/>
            <family val="2"/>
          </rPr>
          <t>10Q July 2021, Pg 1</t>
        </r>
      </text>
    </comment>
    <comment ref="C63" authorId="0" shapeId="0" xr:uid="{C8FA2E79-2878-49B9-B826-4B1EA067640C}">
      <text>
        <r>
          <rPr>
            <sz val="11"/>
            <color theme="1"/>
            <rFont val="Calibri"/>
            <family val="2"/>
            <scheme val="minor"/>
          </rPr>
          <t>10Q June 2023, Pg 6
Short term Debt + Current Maturities of long term loan + long term Debt</t>
        </r>
      </text>
    </comment>
    <comment ref="D63" authorId="1" shapeId="0" xr:uid="{3AD8DC27-E5FB-48CF-9224-639E2E515686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E63" authorId="1" shapeId="0" xr:uid="{748A24D1-B641-47B6-9CED-C0926FF7E5D2}">
      <text>
        <r>
          <rPr>
            <b/>
            <sz val="9"/>
            <color indexed="81"/>
            <rFont val="Tahoma"/>
            <family val="2"/>
          </rPr>
          <t>10Q June 2023, Pg 1</t>
        </r>
      </text>
    </comment>
    <comment ref="C64" authorId="0" shapeId="0" xr:uid="{53214051-FB24-4CCE-B86F-402D47866BB6}">
      <text>
        <r>
          <rPr>
            <sz val="11"/>
            <color theme="1"/>
            <rFont val="Calibri"/>
            <family val="2"/>
            <scheme val="minor"/>
          </rPr>
          <t>10Q June 2022, Pg 6
Short term Debt + Current Maturities of long term loan + long term Debt</t>
        </r>
      </text>
    </comment>
    <comment ref="E64" authorId="1" shapeId="0" xr:uid="{77B87CC5-7048-4434-B6DB-72D3013FC99A}">
      <text>
        <r>
          <rPr>
            <b/>
            <sz val="9"/>
            <color indexed="81"/>
            <rFont val="Tahoma"/>
            <family val="2"/>
          </rPr>
          <t>10Q June 2022, Pg 1</t>
        </r>
      </text>
    </comment>
    <comment ref="C65" authorId="0" shapeId="0" xr:uid="{7F2F8362-63F0-4BEC-AA57-B69B7C55811C}">
      <text>
        <r>
          <rPr>
            <sz val="11"/>
            <color theme="1"/>
            <rFont val="Calibri"/>
            <family val="2"/>
            <scheme val="minor"/>
          </rPr>
          <t>10Q June 2021, Pg 6
Current Maturities of long term loan + long term Debt</t>
        </r>
      </text>
    </comment>
    <comment ref="E65" authorId="1" shapeId="0" xr:uid="{AEA24723-DB57-44C3-A0C5-096D982A401A}">
      <text>
        <r>
          <rPr>
            <b/>
            <sz val="9"/>
            <color indexed="81"/>
            <rFont val="Tahoma"/>
            <family val="2"/>
          </rPr>
          <t>10Q June 2021, Pg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5" authorId="0" shapeId="0" xr:uid="{A27E1014-A50F-42E6-9747-DFA89BCB827B}">
      <text>
        <r>
          <rPr>
            <b/>
            <sz val="9"/>
            <color indexed="81"/>
            <rFont val="Tahoma"/>
            <family val="2"/>
          </rPr>
          <t>Investing.com
Market Capitalisation of each company is listed there(data as on 31st July 2023- valuation date)</t>
        </r>
      </text>
    </comment>
    <comment ref="D20" authorId="0" shapeId="0" xr:uid="{03DB558F-044B-42E5-A393-1C364C98F8AD}">
      <text>
        <r>
          <rPr>
            <b/>
            <sz val="9"/>
            <color indexed="81"/>
            <rFont val="Tahoma"/>
            <family val="2"/>
          </rPr>
          <t>Investing.com
Pepsico
historical weekly data</t>
        </r>
      </text>
    </comment>
    <comment ref="E20" authorId="0" shapeId="0" xr:uid="{5F1D6DA2-6698-466A-A0C8-9F77D514199C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H20" authorId="0" shapeId="0" xr:uid="{E5A5AE6F-21EE-4810-AD97-350866945818}">
      <text>
        <r>
          <rPr>
            <b/>
            <sz val="9"/>
            <color indexed="81"/>
            <rFont val="Tahoma"/>
            <family val="2"/>
          </rPr>
          <t>investing.com
Coca cola
historical weekly data</t>
        </r>
      </text>
    </comment>
    <comment ref="I20" authorId="0" shapeId="0" xr:uid="{509104A0-4802-4EA7-A668-BE9610DD960C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L20" authorId="0" shapeId="0" xr:uid="{4F4564CA-092A-43DC-B6E6-AD21928FED26}">
      <text>
        <r>
          <rPr>
            <b/>
            <sz val="9"/>
            <color indexed="81"/>
            <rFont val="Tahoma"/>
            <family val="2"/>
          </rPr>
          <t>Investing.com
Keurig Dr. Pepper historical weekly data</t>
        </r>
      </text>
    </comment>
    <comment ref="M20" authorId="0" shapeId="0" xr:uid="{6F78497B-1F44-41CB-AEEE-DDF07A9ADD0B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P20" authorId="0" shapeId="0" xr:uid="{E8910821-6CE5-4474-8694-9109C808265A}">
      <text>
        <r>
          <rPr>
            <b/>
            <sz val="9"/>
            <color indexed="81"/>
            <rFont val="Tahoma"/>
            <family val="2"/>
          </rPr>
          <t>Investing.com
Monster Beverage Corp.
historical weekly data</t>
        </r>
      </text>
    </comment>
    <comment ref="Q20" authorId="0" shapeId="0" xr:uid="{7BCC68A8-D7B0-4FA6-B62F-F7506588C9A9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T20" authorId="0" shapeId="0" xr:uid="{9410D164-F15E-49C0-A47E-9C5DC496FEB5}">
      <text>
        <r>
          <rPr>
            <b/>
            <sz val="9"/>
            <color indexed="81"/>
            <rFont val="Tahoma"/>
            <family val="2"/>
          </rPr>
          <t>Investing.com
Hormel Foods Corp. historical weekly data</t>
        </r>
      </text>
    </comment>
    <comment ref="U20" authorId="0" shapeId="0" xr:uid="{7FA2C5B5-D3EE-48FD-935A-A0007B777EEC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X20" authorId="0" shapeId="0" xr:uid="{83A25A5E-ADD7-4E5D-B05F-E64E3BAD0C48}">
      <text>
        <r>
          <rPr>
            <b/>
            <sz val="9"/>
            <color indexed="81"/>
            <rFont val="Tahoma"/>
            <family val="2"/>
          </rPr>
          <t>Investing.com
Kellogg Company historical weekly data</t>
        </r>
      </text>
    </comment>
    <comment ref="Y20" authorId="0" shapeId="0" xr:uid="{DE26AF0B-FC10-4F6F-BF30-6FF1EB426487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B20" authorId="0" shapeId="0" xr:uid="{2D5BD0A2-2D44-4133-BF4A-B3B53503DDE8}">
      <text>
        <r>
          <rPr>
            <b/>
            <sz val="9"/>
            <color indexed="81"/>
            <rFont val="Tahoma"/>
            <family val="2"/>
          </rPr>
          <t>Investing.com
Kraft Heinz Co. historical weekly data</t>
        </r>
      </text>
    </comment>
    <comment ref="AC20" authorId="0" shapeId="0" xr:uid="{E39D9BD1-227F-4886-9445-A9D913A43C69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F20" authorId="0" shapeId="0" xr:uid="{E9F560F2-231E-41E3-8E5D-4EE93C6F2A2F}">
      <text>
        <r>
          <rPr>
            <b/>
            <sz val="9"/>
            <color indexed="81"/>
            <rFont val="Tahoma"/>
            <family val="2"/>
          </rPr>
          <t>Investing.com
Mondelez
historical weekly data</t>
        </r>
      </text>
    </comment>
    <comment ref="AG20" authorId="0" shapeId="0" xr:uid="{D8875897-0B88-429D-B3AD-4DD84CF91F5F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J20" authorId="0" shapeId="0" xr:uid="{F6F72C8B-46DB-4602-8F14-F128E00C4939}">
      <text>
        <r>
          <rPr>
            <b/>
            <sz val="9"/>
            <color indexed="81"/>
            <rFont val="Tahoma"/>
            <family val="2"/>
          </rPr>
          <t>Investing.com
Hershey Co.
historical weekly data</t>
        </r>
      </text>
    </comment>
    <comment ref="AK20" authorId="0" shapeId="0" xr:uid="{152CCA84-A319-4849-8CC5-1E32D2A18F23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N20" authorId="0" shapeId="0" xr:uid="{8D00F579-20A6-431E-8247-7FA2C0F68D93}">
      <text>
        <r>
          <rPr>
            <b/>
            <sz val="9"/>
            <color indexed="81"/>
            <rFont val="Tahoma"/>
            <family val="2"/>
          </rPr>
          <t>Investing.com
Campbell Soup historical weekly data</t>
        </r>
      </text>
    </comment>
    <comment ref="AO20" authorId="0" shapeId="0" xr:uid="{15CE07A8-8062-4D27-A864-5F2D9EB15813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R20" authorId="0" shapeId="0" xr:uid="{C34EE734-4C6A-4102-966E-69519AC06590}">
      <text>
        <r>
          <rPr>
            <b/>
            <sz val="9"/>
            <color indexed="81"/>
            <rFont val="Tahoma"/>
            <family val="2"/>
          </rPr>
          <t>Investing.com
Constellation Brands
historical weekly data</t>
        </r>
      </text>
    </comment>
    <comment ref="AS20" authorId="0" shapeId="0" xr:uid="{2E51DB5D-CEA5-4678-AE99-7BBAA6D85EE8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V20" authorId="0" shapeId="0" xr:uid="{48B9CAAA-7DAD-48EE-8699-321060C7498D}">
      <text>
        <r>
          <rPr>
            <b/>
            <sz val="9"/>
            <color indexed="81"/>
            <rFont val="Tahoma"/>
            <family val="2"/>
          </rPr>
          <t>Investing.com
General Mills historical weekly data</t>
        </r>
      </text>
    </comment>
    <comment ref="AW20" authorId="0" shapeId="0" xr:uid="{253A7A52-6E2E-44E2-81F2-E77E22F2BC2F}">
      <text>
        <r>
          <rPr>
            <b/>
            <sz val="9"/>
            <color indexed="81"/>
            <rFont val="Tahoma"/>
            <family val="2"/>
          </rPr>
          <t>Calculation</t>
        </r>
      </text>
    </comment>
    <comment ref="AZ20" authorId="0" shapeId="0" xr:uid="{C87D1C03-5263-426F-80C7-923DF61159C9}">
      <text>
        <r>
          <rPr>
            <b/>
            <sz val="9"/>
            <color indexed="81"/>
            <rFont val="Tahoma"/>
            <family val="2"/>
          </rPr>
          <t xml:space="preserve">S&amp;P 500 data file
</t>
        </r>
      </text>
    </comment>
    <comment ref="BA20" authorId="0" shapeId="0" xr:uid="{F1D0B451-42EF-40C5-8D7C-106AA2EDB347}">
      <text>
        <r>
          <rPr>
            <b/>
            <sz val="9"/>
            <color indexed="81"/>
            <rFont val="Tahoma"/>
            <family val="2"/>
          </rPr>
          <t>Calculation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5" authorId="0" shapeId="0" xr:uid="{5AE5F78C-9DEA-4730-9606-706548BCE4A0}">
      <text>
        <r>
          <rPr>
            <b/>
            <sz val="9"/>
            <color indexed="81"/>
            <rFont val="Tahoma"/>
            <family val="2"/>
          </rPr>
          <t>10K Dec'2019
Pg 79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50" authorId="0" shapeId="0" xr:uid="{AD0EFF42-F6C9-4452-B479-7F2B9E851AB2}">
      <text>
        <r>
          <rPr>
            <b/>
            <sz val="9"/>
            <color indexed="81"/>
            <rFont val="Tahoma"/>
            <family val="2"/>
          </rPr>
          <t>10K Dec, 2020
Pg 108</t>
        </r>
      </text>
    </comment>
    <comment ref="C50" authorId="0" shapeId="0" xr:uid="{E319250C-38A2-43F8-ABB0-9CB5BDF26305}">
      <text>
        <r>
          <rPr>
            <b/>
            <sz val="9"/>
            <color indexed="81"/>
            <rFont val="Tahoma"/>
            <family val="2"/>
          </rPr>
          <t>10K Dec, 2020
Pg 108</t>
        </r>
      </text>
    </comment>
    <comment ref="D50" authorId="0" shapeId="0" xr:uid="{D866FFD1-BEF0-4769-A91B-3A0C36B8DC0B}">
      <text>
        <r>
          <rPr>
            <b/>
            <sz val="9"/>
            <color indexed="81"/>
            <rFont val="Tahoma"/>
            <family val="2"/>
          </rPr>
          <t>10K Dec, 2022
Pg 110</t>
        </r>
      </text>
    </comment>
    <comment ref="E50" authorId="0" shapeId="0" xr:uid="{1A4DB4CF-279D-43D0-93B1-AA144211FAA0}">
      <text>
        <r>
          <rPr>
            <b/>
            <sz val="9"/>
            <color indexed="81"/>
            <rFont val="Tahoma"/>
            <family val="2"/>
          </rPr>
          <t>10K Dec, 2022
Pg 110</t>
        </r>
      </text>
    </comment>
    <comment ref="B51" authorId="0" shapeId="0" xr:uid="{E0EC01EC-5249-4BF7-8712-0FD7592C96D2}">
      <text>
        <r>
          <rPr>
            <b/>
            <sz val="9"/>
            <color indexed="81"/>
            <rFont val="Tahoma"/>
            <family val="2"/>
          </rPr>
          <t>10K Dec, 2020
Pg 108</t>
        </r>
      </text>
    </comment>
    <comment ref="C51" authorId="0" shapeId="0" xr:uid="{382AFFF7-88A1-4360-B635-F4F9A0A3D615}">
      <text>
        <r>
          <rPr>
            <b/>
            <sz val="9"/>
            <color indexed="81"/>
            <rFont val="Tahoma"/>
            <family val="2"/>
          </rPr>
          <t>10K Dec, 2020
Pg 108</t>
        </r>
      </text>
    </comment>
    <comment ref="D51" authorId="0" shapeId="0" xr:uid="{1382E71A-6D44-4DA3-9266-557D7546614C}">
      <text>
        <r>
          <rPr>
            <b/>
            <sz val="9"/>
            <color indexed="81"/>
            <rFont val="Tahoma"/>
            <family val="2"/>
          </rPr>
          <t>10K Dec, 2022
Pg 110</t>
        </r>
      </text>
    </comment>
    <comment ref="E51" authorId="0" shapeId="0" xr:uid="{7275922A-855B-4798-9205-87E1D3627AD6}">
      <text>
        <r>
          <rPr>
            <b/>
            <sz val="9"/>
            <color indexed="81"/>
            <rFont val="Tahoma"/>
            <family val="2"/>
          </rPr>
          <t>10K Dec, 2022
Pg 110</t>
        </r>
      </text>
    </comment>
    <comment ref="B52" authorId="0" shapeId="0" xr:uid="{C33DB62A-B589-4A1B-B620-AB33CDDC5873}">
      <text>
        <r>
          <rPr>
            <b/>
            <sz val="9"/>
            <color indexed="81"/>
            <rFont val="Tahoma"/>
            <family val="2"/>
          </rPr>
          <t>10K 2019
Pg 125</t>
        </r>
      </text>
    </comment>
    <comment ref="F53" authorId="0" shapeId="0" xr:uid="{71689490-CCE8-4F96-9DD0-AAF464295BC9}">
      <text>
        <r>
          <rPr>
            <b/>
            <sz val="9"/>
            <color indexed="81"/>
            <rFont val="Tahoma"/>
            <family val="2"/>
          </rPr>
          <t>10Q June, 2023
Pg 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1" authorId="0" shapeId="0" xr:uid="{954EF368-9CB2-48F2-A4AE-F954BE902267}">
      <text>
        <r>
          <rPr>
            <b/>
            <sz val="9"/>
            <color indexed="81"/>
            <rFont val="Tahoma"/>
            <family val="2"/>
          </rPr>
          <t>10K Dec'19, Pg 85</t>
        </r>
      </text>
    </comment>
    <comment ref="C11" authorId="0" shapeId="0" xr:uid="{BCE75652-C5AF-485D-A0E2-C33F1DDC8886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D11" authorId="0" shapeId="0" xr:uid="{ECC7D9D8-3F7A-4D47-A378-38FF4493DEAF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E11" authorId="0" shapeId="0" xr:uid="{E58EF564-5ED5-460E-B868-B3C397004A14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F11" authorId="0" shapeId="0" xr:uid="{F7D67071-A3A2-4936-8020-A390B7624F22}">
      <text>
        <r>
          <rPr>
            <b/>
            <sz val="9"/>
            <color indexed="81"/>
            <rFont val="Tahoma"/>
            <family val="2"/>
          </rPr>
          <t>10Q June 2023, Pg 6
Total dep. And amort. amount</t>
        </r>
      </text>
    </comment>
    <comment ref="B19" authorId="0" shapeId="0" xr:uid="{ABCF84FB-6754-4923-B3CB-ED82C19CECD7}">
      <text>
        <r>
          <rPr>
            <b/>
            <sz val="9"/>
            <color indexed="81"/>
            <rFont val="Tahoma"/>
            <family val="2"/>
          </rPr>
          <t>10K Dec'19, Pg 85</t>
        </r>
      </text>
    </comment>
    <comment ref="C19" authorId="0" shapeId="0" xr:uid="{69C74710-7B34-48EC-B7F3-CF8407016B7D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D19" authorId="0" shapeId="0" xr:uid="{3724E66A-6AED-4B93-A2B9-199DC97D8F76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E19" authorId="0" shapeId="0" xr:uid="{216D9DB0-DDB9-47ED-BFA3-1C83542A4437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B20" authorId="0" shapeId="0" xr:uid="{BC5C41D4-A977-49E9-8E54-43A77665F52B}">
      <text>
        <r>
          <rPr>
            <b/>
            <sz val="9"/>
            <color indexed="81"/>
            <rFont val="Tahoma"/>
            <family val="2"/>
          </rPr>
          <t>10K Dec'19, Pg 85</t>
        </r>
      </text>
    </comment>
    <comment ref="C20" authorId="0" shapeId="0" xr:uid="{8F9C3950-14D9-47D6-8321-03C1FDD70EF3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D20" authorId="0" shapeId="0" xr:uid="{E5E52F67-F8D4-4896-BEEB-2699B48B7C88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E20" authorId="0" shapeId="0" xr:uid="{6F4EE10C-D599-47A7-A8D4-A6410F4699BD}">
      <text>
        <r>
          <rPr>
            <b/>
            <sz val="9"/>
            <color indexed="81"/>
            <rFont val="Tahoma"/>
            <family val="2"/>
          </rPr>
          <t>10K Dec'2022, Pg 74</t>
        </r>
      </text>
    </comment>
    <comment ref="B63" authorId="0" shapeId="0" xr:uid="{15B01EFC-6C58-420A-A2AE-F49AD4E476F6}">
      <text>
        <r>
          <rPr>
            <b/>
            <sz val="9"/>
            <color indexed="81"/>
            <rFont val="Tahoma"/>
            <family val="2"/>
          </rPr>
          <t>10K Dec, 2020
Pg 84</t>
        </r>
      </text>
    </comment>
    <comment ref="C63" authorId="0" shapeId="0" xr:uid="{1A5765F0-45A9-4863-8445-78274C6BDF49}">
      <text>
        <r>
          <rPr>
            <b/>
            <sz val="9"/>
            <color indexed="81"/>
            <rFont val="Tahoma"/>
            <family val="2"/>
          </rPr>
          <t>10K Dec, 2020
Pg 84</t>
        </r>
      </text>
    </comment>
    <comment ref="D63" authorId="0" shapeId="0" xr:uid="{E7D88328-25BC-4B73-97C6-95A779741743}">
      <text>
        <r>
          <rPr>
            <b/>
            <sz val="9"/>
            <color indexed="81"/>
            <rFont val="Tahoma"/>
            <family val="2"/>
          </rPr>
          <t xml:space="preserve">10K Dec, 2022
Pg 87
</t>
        </r>
      </text>
    </comment>
    <comment ref="E63" authorId="0" shapeId="0" xr:uid="{DAF10B53-CA46-4398-94AB-4870BD940B2A}">
      <text>
        <r>
          <rPr>
            <b/>
            <sz val="9"/>
            <color indexed="81"/>
            <rFont val="Tahoma"/>
            <family val="2"/>
          </rPr>
          <t>10K Dec, 2022
Pg 87</t>
        </r>
      </text>
    </comment>
    <comment ref="F63" authorId="0" shapeId="0" xr:uid="{CBCF1AF3-DAAB-4DC7-8881-704592F3F7C1}">
      <text>
        <r>
          <rPr>
            <b/>
            <sz val="9"/>
            <color indexed="81"/>
            <rFont val="Tahoma"/>
            <family val="2"/>
          </rPr>
          <t xml:space="preserve">10Q June 2023, Pg 18
</t>
        </r>
      </text>
    </comment>
    <comment ref="B67" authorId="0" shapeId="0" xr:uid="{FD6B12BC-E924-49E3-8E44-32DBE9CDB412}">
      <text>
        <r>
          <rPr>
            <b/>
            <sz val="9"/>
            <color indexed="81"/>
            <rFont val="Tahoma"/>
            <family val="2"/>
          </rPr>
          <t>10K Dec, 2020
Pg 65</t>
        </r>
      </text>
    </comment>
    <comment ref="C67" authorId="0" shapeId="0" xr:uid="{567E4641-DE59-46F0-81F9-B3808948B263}">
      <text>
        <r>
          <rPr>
            <b/>
            <sz val="9"/>
            <color indexed="81"/>
            <rFont val="Tahoma"/>
            <family val="2"/>
          </rPr>
          <t>10K Dec, 2020
Pg 65</t>
        </r>
      </text>
    </comment>
    <comment ref="D67" authorId="0" shapeId="0" xr:uid="{94431A49-255D-404A-B112-E6AB4B21BF2B}">
      <text>
        <r>
          <rPr>
            <b/>
            <sz val="9"/>
            <color indexed="81"/>
            <rFont val="Tahoma"/>
            <family val="2"/>
          </rPr>
          <t>10K Dec, 2022
Pg 67</t>
        </r>
      </text>
    </comment>
    <comment ref="E67" authorId="0" shapeId="0" xr:uid="{60935AAA-185A-4F72-9F55-1A244654B6F1}">
      <text>
        <r>
          <rPr>
            <b/>
            <sz val="9"/>
            <color indexed="81"/>
            <rFont val="Tahoma"/>
            <family val="2"/>
          </rPr>
          <t>10K Dec, 2022
Pg 67</t>
        </r>
      </text>
    </comment>
    <comment ref="F67" authorId="0" shapeId="0" xr:uid="{68DE0B53-CBF1-40D0-B018-4975F7C2A2BA}">
      <text>
        <r>
          <rPr>
            <b/>
            <sz val="9"/>
            <color indexed="81"/>
            <rFont val="Tahoma"/>
            <family val="2"/>
          </rPr>
          <t>10Q June 2023, Pg 9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7" authorId="0" shapeId="0" xr:uid="{690AF8E3-16AE-4537-987E-944C6294F939}">
      <text>
        <r>
          <rPr>
            <b/>
            <sz val="9"/>
            <color indexed="81"/>
            <rFont val="Tahoma"/>
            <family val="2"/>
          </rPr>
          <t>10K Dec'2020, Pg 39</t>
        </r>
      </text>
    </comment>
    <comment ref="D7" authorId="0" shapeId="0" xr:uid="{D71EC527-FCF7-4ED6-BC23-D0E053A3DC68}">
      <text>
        <r>
          <rPr>
            <b/>
            <sz val="9"/>
            <color indexed="81"/>
            <rFont val="Tahoma"/>
            <family val="2"/>
          </rPr>
          <t xml:space="preserve">10K Dec'2021, Pg 40
</t>
        </r>
      </text>
    </comment>
  </commentList>
</comments>
</file>

<file path=xl/sharedStrings.xml><?xml version="1.0" encoding="utf-8"?>
<sst xmlns="http://schemas.openxmlformats.org/spreadsheetml/2006/main" count="2476" uniqueCount="483">
  <si>
    <t>PepsiCo Inc.</t>
  </si>
  <si>
    <t>(in USD million except per Share Data)</t>
  </si>
  <si>
    <t>Segment Information</t>
  </si>
  <si>
    <t>FLNA</t>
  </si>
  <si>
    <t>Growth%</t>
  </si>
  <si>
    <t>Organic Growth %</t>
  </si>
  <si>
    <t>QFNA</t>
  </si>
  <si>
    <t>PBNA</t>
  </si>
  <si>
    <t>LatAm</t>
  </si>
  <si>
    <t>Europe</t>
  </si>
  <si>
    <t>AMESA</t>
  </si>
  <si>
    <t>APAC</t>
  </si>
  <si>
    <t>Total Division</t>
  </si>
  <si>
    <t>Source</t>
  </si>
  <si>
    <t>Valuation Date</t>
  </si>
  <si>
    <t>12 months</t>
  </si>
  <si>
    <t>6 months</t>
  </si>
  <si>
    <t>Dec. 31, 2019</t>
  </si>
  <si>
    <t>Dec. 31, 2020</t>
  </si>
  <si>
    <t>Dec. 31, 2021</t>
  </si>
  <si>
    <t>Dec. 31, 2022</t>
  </si>
  <si>
    <t>Dec. 31, 2023</t>
  </si>
  <si>
    <t>Dec. 31, 2024</t>
  </si>
  <si>
    <t>Dec. 31, 2025</t>
  </si>
  <si>
    <t>Dec. 31, 2026</t>
  </si>
  <si>
    <t>Dec. 31, 2027</t>
  </si>
  <si>
    <t>10Q June'23, Pg 11 and 35</t>
  </si>
  <si>
    <t>10K Dec'22, Pg 41 and 70</t>
  </si>
  <si>
    <t>10K Dec'19, Pg 51 &amp; 84</t>
  </si>
  <si>
    <t>Calculation</t>
  </si>
  <si>
    <t>Income Statement</t>
  </si>
  <si>
    <t xml:space="preserve"> </t>
  </si>
  <si>
    <t>Net Revenue</t>
  </si>
  <si>
    <t xml:space="preserve">Cost of Sales-Reported </t>
  </si>
  <si>
    <t>Impact of Special Items</t>
  </si>
  <si>
    <t xml:space="preserve">Cost of Sales-Normalised </t>
  </si>
  <si>
    <t>Cost of Sales (Other than Depreciation Exp)</t>
  </si>
  <si>
    <t>Depreciation Exp</t>
  </si>
  <si>
    <t>Gross Profit-Normalised</t>
  </si>
  <si>
    <t>Selling, General &amp; Admin Exp.-Reported</t>
  </si>
  <si>
    <t xml:space="preserve">Selling, General &amp; Admin Exp.-Normalised </t>
  </si>
  <si>
    <t>Selling, General &amp; Admin Exp. (Excluding Amortisation Exp)</t>
  </si>
  <si>
    <t>Corporate Depreciation and Amort</t>
  </si>
  <si>
    <t>Amortization Exp.</t>
  </si>
  <si>
    <t xml:space="preserve">Operating Income / EBIT-Normalised </t>
  </si>
  <si>
    <t xml:space="preserve">Other pension and retiree medical benefits (expense)/income-Reported </t>
  </si>
  <si>
    <t xml:space="preserve">Other pension and retiree medical benefits (expense)/income-Normalised </t>
  </si>
  <si>
    <t>Interest Expense-Reported</t>
  </si>
  <si>
    <t>Interest Expense-Normalised</t>
  </si>
  <si>
    <t xml:space="preserve">Income before Income Taxes-Normalised </t>
  </si>
  <si>
    <t>Income Tax Expense-Normalised</t>
  </si>
  <si>
    <t xml:space="preserve">Net Income-Normalised </t>
  </si>
  <si>
    <t xml:space="preserve">Share of noncontrolling interests-Reported </t>
  </si>
  <si>
    <t xml:space="preserve">Share of noncontrolling interests-Normalised </t>
  </si>
  <si>
    <t xml:space="preserve">Net Income attributable to PepsiCo-Normalised </t>
  </si>
  <si>
    <t>Weighted Average Common Shares Outstanding-Diluted</t>
  </si>
  <si>
    <t>Earning Per Share-Diluted</t>
  </si>
  <si>
    <t>Cost as % of sales</t>
  </si>
  <si>
    <t>Other pension and retiree medical benefits (expense)/income</t>
  </si>
  <si>
    <t>Tax Rate-Normalised (%age of PBT)</t>
  </si>
  <si>
    <t>Share of noncontrolling interests (%age of Net Income)</t>
  </si>
  <si>
    <t>Share-based Compensation Expenses</t>
  </si>
  <si>
    <t>%age of SG&amp;A</t>
  </si>
  <si>
    <t>Dividend Per Share</t>
  </si>
  <si>
    <t>Dividend Payout Ratio</t>
  </si>
  <si>
    <t xml:space="preserve">Income Tax Expense-Reported </t>
  </si>
  <si>
    <t>10K Dec'20, Pg 46 and 60</t>
  </si>
  <si>
    <t>10K Dec'22, Pg 48, 49 and 62</t>
  </si>
  <si>
    <t>10Q June'23, Pg 4, 45</t>
  </si>
  <si>
    <t xml:space="preserve">Balance Sheet as of:
</t>
  </si>
  <si>
    <t>ASSETS</t>
  </si>
  <si>
    <t>Cash And Equivalents</t>
  </si>
  <si>
    <t>Short Term Investments</t>
  </si>
  <si>
    <t>Accounts and Notes Receivable</t>
  </si>
  <si>
    <t>Inventories</t>
  </si>
  <si>
    <t>Prepaid expenses and other current assets</t>
  </si>
  <si>
    <t xml:space="preserve">Total Current Assets </t>
  </si>
  <si>
    <t>Net Property, Plant &amp; Equipment</t>
  </si>
  <si>
    <t>Amortizable Intangible Assets, net</t>
  </si>
  <si>
    <t>Goodwill</t>
  </si>
  <si>
    <t>Other indefinite-lived intangible assets</t>
  </si>
  <si>
    <t>Investments in Noncontrolled Affiliates</t>
  </si>
  <si>
    <t>Deferred Income Taxes</t>
  </si>
  <si>
    <t>Other Assets</t>
  </si>
  <si>
    <t>Total Assets</t>
  </si>
  <si>
    <t>LIABILITIES</t>
  </si>
  <si>
    <t>Short-term debt obligations</t>
  </si>
  <si>
    <t xml:space="preserve">Accounts payable and other current liabilities </t>
  </si>
  <si>
    <t xml:space="preserve">  Total Current Liabilities</t>
  </si>
  <si>
    <t>Long-Term Debt Obligations</t>
  </si>
  <si>
    <t xml:space="preserve">Other Liabilities </t>
  </si>
  <si>
    <t>Total Liabilities</t>
  </si>
  <si>
    <t>Common Stock</t>
  </si>
  <si>
    <t xml:space="preserve">Capital in excess of par value </t>
  </si>
  <si>
    <t>Retained Earnings</t>
  </si>
  <si>
    <t>Accumulated other comprehensive loss</t>
  </si>
  <si>
    <t>Repurchased common stock, in excess of par value</t>
  </si>
  <si>
    <t xml:space="preserve">Total PepsiCo Common Shareholders’ Equity </t>
  </si>
  <si>
    <t>Noncontrolling interests</t>
  </si>
  <si>
    <t>Total Equity</t>
  </si>
  <si>
    <t>Total Liabilities And Equity</t>
  </si>
  <si>
    <t>Check</t>
  </si>
  <si>
    <t>Less: Non Operating Items</t>
  </si>
  <si>
    <t>Dividends payable</t>
  </si>
  <si>
    <t>Current lease liabilities</t>
  </si>
  <si>
    <t>Accounts payable and other current liabilities-Operating</t>
  </si>
  <si>
    <t>Accounts payable and other current liabilities-Non Operating</t>
  </si>
  <si>
    <t>Working Capital</t>
  </si>
  <si>
    <t>Operating Current Assets</t>
  </si>
  <si>
    <t>Receivable Days</t>
  </si>
  <si>
    <t>Inventory Days</t>
  </si>
  <si>
    <t>%age of Sales</t>
  </si>
  <si>
    <t>Operating Current Liabilities</t>
  </si>
  <si>
    <t>Assets held for sale</t>
  </si>
  <si>
    <t>10K Dec'20, Pg 64</t>
  </si>
  <si>
    <t>10K Dec'22, Pg 66</t>
  </si>
  <si>
    <t>Liabilities held for sale</t>
  </si>
  <si>
    <t>June, 2023</t>
  </si>
  <si>
    <t>10Q June'23, Pg 8</t>
  </si>
  <si>
    <t>Property, Plant &amp; Equipment</t>
  </si>
  <si>
    <t>Opening Balance-WDV</t>
  </si>
  <si>
    <t>Add: Net Addition during the Period</t>
  </si>
  <si>
    <t>Total Depreciable Assets During the Year</t>
  </si>
  <si>
    <t>Less: Depreciation during the year</t>
  </si>
  <si>
    <t>Closing Balance-WDV</t>
  </si>
  <si>
    <t>PPE Turnover Ratio</t>
  </si>
  <si>
    <t>Depreciation Rate</t>
  </si>
  <si>
    <t>Total Amortizable Assets During the Year</t>
  </si>
  <si>
    <t>Less: Amortisation during the year</t>
  </si>
  <si>
    <t>Amortisation Rate</t>
  </si>
  <si>
    <t>Total</t>
  </si>
  <si>
    <t>Depreciation Exp (%)</t>
  </si>
  <si>
    <t>Corporate Depreciation and Amort (%)</t>
  </si>
  <si>
    <t>Less: Amortisation during the year (%)</t>
  </si>
  <si>
    <t>No info. Available</t>
  </si>
  <si>
    <t>Soda Stream Consideration Payable</t>
  </si>
  <si>
    <t>Jun. 17, 2023</t>
  </si>
  <si>
    <t>Jun. 11, 2022</t>
  </si>
  <si>
    <t>Cash Flow Statement</t>
  </si>
  <si>
    <t>Cash From Operating Activities</t>
  </si>
  <si>
    <t>Net Income</t>
  </si>
  <si>
    <t>Depreciation and amortization</t>
  </si>
  <si>
    <t>Share-based compensation expense</t>
  </si>
  <si>
    <t>Change in assets and liabilities:</t>
  </si>
  <si>
    <t>Accounts and notes receivable</t>
  </si>
  <si>
    <t>Accounts payable and other current liabilities</t>
  </si>
  <si>
    <t>Net Cash Provided by Operating Activities</t>
  </si>
  <si>
    <t>Cash From Investing Activities</t>
  </si>
  <si>
    <t>Capital Expenditure</t>
  </si>
  <si>
    <t>Net Cash Used for Investing Activities</t>
  </si>
  <si>
    <t>Cash From Financing Activities</t>
  </si>
  <si>
    <t>Cash dividends paid</t>
  </si>
  <si>
    <t>Cash before Raising (Repayment) of Debt</t>
  </si>
  <si>
    <t>Debt Raised</t>
  </si>
  <si>
    <t>Debt Repaid</t>
  </si>
  <si>
    <t>Net Cash Provided by/(Used for) Financing Activities</t>
  </si>
  <si>
    <t>Net Increase/(Decrease) in Cash and Cash Equivalents</t>
  </si>
  <si>
    <t xml:space="preserve">Cash and Cash Equivalents, Beginning of Year </t>
  </si>
  <si>
    <t>Cash and Cash Equivalents, End of Period</t>
  </si>
  <si>
    <t>Source: Calculations</t>
  </si>
  <si>
    <t>Debt Schedule</t>
  </si>
  <si>
    <t>Cash Before Debt</t>
  </si>
  <si>
    <t>Add: Opening Cash Balance</t>
  </si>
  <si>
    <t>Cash Available for Debt</t>
  </si>
  <si>
    <t>Less: Mandatory Debt Repayments</t>
  </si>
  <si>
    <t>Cash Available for Discretionery Sweep</t>
  </si>
  <si>
    <t>Interest Expenses</t>
  </si>
  <si>
    <t>Mandatory Debt</t>
  </si>
  <si>
    <t>Balance As on 31 Dec 2022</t>
  </si>
  <si>
    <t>Net Balance As on 30 June 2023</t>
  </si>
  <si>
    <t>Repayment Date</t>
  </si>
  <si>
    <t>Interest Rate</t>
  </si>
  <si>
    <t>Average Rate</t>
  </si>
  <si>
    <t>Raised</t>
  </si>
  <si>
    <t>Repaid</t>
  </si>
  <si>
    <t>2022 Notes</t>
  </si>
  <si>
    <t>10K Dec 2022, Pg 97</t>
  </si>
  <si>
    <t>2023 Notes</t>
  </si>
  <si>
    <t>2024 Notes</t>
  </si>
  <si>
    <t>2025 Notes</t>
  </si>
  <si>
    <t>2026 Notes</t>
  </si>
  <si>
    <t>2027 Notes</t>
  </si>
  <si>
    <t>2028-2060 Notes</t>
  </si>
  <si>
    <t>2022-2028 Notes</t>
  </si>
  <si>
    <t>New Notes February 2026</t>
  </si>
  <si>
    <t>10Q June 2023, Pg 20</t>
  </si>
  <si>
    <t>New Notes May 2028</t>
  </si>
  <si>
    <t>New Notes February 2033</t>
  </si>
  <si>
    <t>New Notes February 2053</t>
  </si>
  <si>
    <t>Total Mandatory Debt</t>
  </si>
  <si>
    <t>Total Debt (Discretionery + Mandatory)</t>
  </si>
  <si>
    <t>Discretionary Debt (Balance)</t>
  </si>
  <si>
    <t>Discretionary Debt Schedule</t>
  </si>
  <si>
    <t>Opening Balance</t>
  </si>
  <si>
    <t>Add: Debt Raised</t>
  </si>
  <si>
    <t>Less: Debt Repaid</t>
  </si>
  <si>
    <t>Closing Balance</t>
  </si>
  <si>
    <t>Total Debt</t>
  </si>
  <si>
    <t>Short term debt</t>
  </si>
  <si>
    <t>Long term Debt</t>
  </si>
  <si>
    <t>Payable Days</t>
  </si>
  <si>
    <t>Pepsico DCF Valuation</t>
  </si>
  <si>
    <t>Latest Filing</t>
  </si>
  <si>
    <t>Choose Discounting</t>
  </si>
  <si>
    <t>Date of cash flows</t>
  </si>
  <si>
    <t>EBIT</t>
  </si>
  <si>
    <t>Tax Rate</t>
  </si>
  <si>
    <t>NOPAT</t>
  </si>
  <si>
    <t>Add: Depreciation and amortisation</t>
  </si>
  <si>
    <t>Add/Less: (Increase)/ Decrease in net working capital</t>
  </si>
  <si>
    <t>Less: Capital expenditure</t>
  </si>
  <si>
    <t>Debt free cash flow (Free Cash Flows to Firm)</t>
  </si>
  <si>
    <t>Discount rate (%)</t>
  </si>
  <si>
    <t>Discounting Period-Year End</t>
  </si>
  <si>
    <t>Discounting Period-Mid Year</t>
  </si>
  <si>
    <t>Present value factor- Year end discounting</t>
  </si>
  <si>
    <t>Present value factor- Mid year discounting</t>
  </si>
  <si>
    <t xml:space="preserve">Present value debt free cash flow </t>
  </si>
  <si>
    <t>Present value for explicit period</t>
  </si>
  <si>
    <t>WACC</t>
  </si>
  <si>
    <t>Terminal value</t>
  </si>
  <si>
    <t>Gordon growth</t>
  </si>
  <si>
    <t>Long Term Growth Rate</t>
  </si>
  <si>
    <t>LTGR</t>
  </si>
  <si>
    <t>Terminal Value</t>
  </si>
  <si>
    <t>Present Value of TV</t>
  </si>
  <si>
    <t>DCF Value of Firm / Operating Business Enterprise Value</t>
  </si>
  <si>
    <t>Add: Non Operating Assets</t>
  </si>
  <si>
    <t>Total Value of Firm</t>
  </si>
  <si>
    <t>Less: Gross Debt &amp; Debt Equivalents</t>
  </si>
  <si>
    <t>Add: Cash</t>
  </si>
  <si>
    <t>Less: Non Controling Interest</t>
  </si>
  <si>
    <t>DCF value of Common Equity</t>
  </si>
  <si>
    <t>No. of shares o/s</t>
  </si>
  <si>
    <t>DCF value per share</t>
  </si>
  <si>
    <t>Exit Multiple Method</t>
  </si>
  <si>
    <t>LTM EV/EBITDA</t>
  </si>
  <si>
    <t>Exit Multiple</t>
  </si>
  <si>
    <t>Terminal Year EBITDA</t>
  </si>
  <si>
    <t>No. of shares o/s-Diluted</t>
  </si>
  <si>
    <t>Mid year discounting</t>
  </si>
  <si>
    <t>Year end discounting</t>
  </si>
  <si>
    <t>PepsiCo WACC Calculation</t>
  </si>
  <si>
    <t xml:space="preserve">Cost of equity </t>
  </si>
  <si>
    <t xml:space="preserve">Cost of debt </t>
  </si>
  <si>
    <t>Weighted average cost of capital</t>
  </si>
  <si>
    <t>Particulars</t>
  </si>
  <si>
    <t>Notes</t>
  </si>
  <si>
    <t>Value</t>
  </si>
  <si>
    <t>Weight</t>
  </si>
  <si>
    <t>Cost</t>
  </si>
  <si>
    <t xml:space="preserve">Risk-free rate (%) </t>
  </si>
  <si>
    <t>10-year treasury rate</t>
  </si>
  <si>
    <t>Debt borrowing rate (%)</t>
  </si>
  <si>
    <t>Ratings Based</t>
  </si>
  <si>
    <t>Debt (%)</t>
  </si>
  <si>
    <t>Cost of debt (%)</t>
  </si>
  <si>
    <t>Beta</t>
  </si>
  <si>
    <t>Expected income tax rate (%)</t>
  </si>
  <si>
    <t>Equity (%)</t>
  </si>
  <si>
    <t>Cost of equity (%)</t>
  </si>
  <si>
    <t xml:space="preserve">Equity market risk premium (%) </t>
  </si>
  <si>
    <t>Damodaram ERP</t>
  </si>
  <si>
    <t>After-tax cost of debt (%)</t>
  </si>
  <si>
    <t>Cost of equity capital (%)</t>
  </si>
  <si>
    <t>Calculation of beta</t>
  </si>
  <si>
    <t>Levered beta</t>
  </si>
  <si>
    <t>D/(D+E) 
(last three years)</t>
  </si>
  <si>
    <t>E/(D+E) 
(last three years)</t>
  </si>
  <si>
    <t>Tax rate (%)</t>
  </si>
  <si>
    <t>Unlevered beta</t>
  </si>
  <si>
    <t>Relevered beta</t>
  </si>
  <si>
    <t>Bottom-up</t>
  </si>
  <si>
    <t>Beta Calculation for Target Co</t>
  </si>
  <si>
    <t>Bottoms Up beta</t>
  </si>
  <si>
    <t>Regression beta</t>
  </si>
  <si>
    <t>Calculation of Capital Structure of Peer Group Companies</t>
  </si>
  <si>
    <t>Debt</t>
  </si>
  <si>
    <t>Equity</t>
  </si>
  <si>
    <t>Coca Cola</t>
  </si>
  <si>
    <t>Share Price</t>
  </si>
  <si>
    <t>Shares O/S</t>
  </si>
  <si>
    <t>M.Cap</t>
  </si>
  <si>
    <t>Pepsico</t>
  </si>
  <si>
    <t>Keurig Dr. Pepper</t>
  </si>
  <si>
    <t>Monster Beverages</t>
  </si>
  <si>
    <t>Mondelez</t>
  </si>
  <si>
    <t>Hershey Co.</t>
  </si>
  <si>
    <t>Constellation Brands</t>
  </si>
  <si>
    <t>BETA CALCULATION</t>
  </si>
  <si>
    <t>Competitors</t>
  </si>
  <si>
    <t>Market Cap</t>
  </si>
  <si>
    <t>R sq</t>
  </si>
  <si>
    <t>Hormel Foods</t>
  </si>
  <si>
    <t>Kellogg Company</t>
  </si>
  <si>
    <t>Kraft Heinz Co.</t>
  </si>
  <si>
    <t>Campbell Soup</t>
  </si>
  <si>
    <t>General Mills</t>
  </si>
  <si>
    <t>Source : marketscreener.com</t>
  </si>
  <si>
    <t>marketscreener.com</t>
  </si>
  <si>
    <t>Coca-Cola</t>
  </si>
  <si>
    <t>Monster Beverage Corporation</t>
  </si>
  <si>
    <t>Hormel Foods Corporation (HFL)</t>
  </si>
  <si>
    <t xml:space="preserve">Kellogg Company </t>
  </si>
  <si>
    <t>Kraft Heinz Co (KHC)</t>
  </si>
  <si>
    <t>Mondelez (MDLZ)</t>
  </si>
  <si>
    <t>Campbell Soup (CPB)</t>
  </si>
  <si>
    <t>Constellation Brands (STZ)</t>
  </si>
  <si>
    <t>General Mills Inc (GIS)</t>
  </si>
  <si>
    <t>S&amp;P 500</t>
  </si>
  <si>
    <t>Date</t>
  </si>
  <si>
    <t>Adj Close</t>
  </si>
  <si>
    <t>% Change</t>
  </si>
  <si>
    <t>07/30/2023</t>
  </si>
  <si>
    <t>07/23/2023</t>
  </si>
  <si>
    <t>07/16/2023</t>
  </si>
  <si>
    <t>06/25/2023</t>
  </si>
  <si>
    <t>06/18/2023</t>
  </si>
  <si>
    <t>05/28/2023</t>
  </si>
  <si>
    <t>05/21/2023</t>
  </si>
  <si>
    <t>05/14/2023</t>
  </si>
  <si>
    <t>04/30/2023</t>
  </si>
  <si>
    <t>04/23/2023</t>
  </si>
  <si>
    <t>04/16/2023</t>
  </si>
  <si>
    <t>03/26/2023</t>
  </si>
  <si>
    <t>03/19/2023</t>
  </si>
  <si>
    <t>02/26/2023</t>
  </si>
  <si>
    <t>02/19/2023</t>
  </si>
  <si>
    <t>01/29/2023</t>
  </si>
  <si>
    <t>01/22/2023</t>
  </si>
  <si>
    <t>01/15/2023</t>
  </si>
  <si>
    <t>12/25/2022</t>
  </si>
  <si>
    <t>12/18/2022</t>
  </si>
  <si>
    <t>11/27/2022</t>
  </si>
  <si>
    <t>11/20/2022</t>
  </si>
  <si>
    <t>11/13/2022</t>
  </si>
  <si>
    <t>10/30/2022</t>
  </si>
  <si>
    <t>10/23/2022</t>
  </si>
  <si>
    <t>10/16/2022</t>
  </si>
  <si>
    <t>09/25/2022</t>
  </si>
  <si>
    <t>09/18/2022</t>
  </si>
  <si>
    <t>08/28/2022</t>
  </si>
  <si>
    <t>08/21/2022</t>
  </si>
  <si>
    <t>08/14/2022</t>
  </si>
  <si>
    <t>07/31/2022</t>
  </si>
  <si>
    <t>07/24/2022</t>
  </si>
  <si>
    <t>07/17/2022</t>
  </si>
  <si>
    <t>06/26/2022</t>
  </si>
  <si>
    <t>06/19/2022</t>
  </si>
  <si>
    <t>05/29/2022</t>
  </si>
  <si>
    <t>05/22/2022</t>
  </si>
  <si>
    <t>05/15/2022</t>
  </si>
  <si>
    <t>04/24/2022</t>
  </si>
  <si>
    <t>04/17/2022</t>
  </si>
  <si>
    <t>03/27/2022</t>
  </si>
  <si>
    <t>03/20/2022</t>
  </si>
  <si>
    <t>03/13/2022</t>
  </si>
  <si>
    <t>02/27/2022</t>
  </si>
  <si>
    <t>02/20/2022</t>
  </si>
  <si>
    <t>02/13/2022</t>
  </si>
  <si>
    <t>01/30/2022</t>
  </si>
  <si>
    <t>01/23/2022</t>
  </si>
  <si>
    <t>01/16/2022</t>
  </si>
  <si>
    <t>12/26/2021</t>
  </si>
  <si>
    <t>12/19/2021</t>
  </si>
  <si>
    <t>11/28/2021</t>
  </si>
  <si>
    <t>11/21/2021</t>
  </si>
  <si>
    <t>11/14/2021</t>
  </si>
  <si>
    <t>10/31/2021</t>
  </si>
  <si>
    <t>10/24/2021</t>
  </si>
  <si>
    <t>10/17/2021</t>
  </si>
  <si>
    <t>09/26/2021</t>
  </si>
  <si>
    <t>09/19/2021</t>
  </si>
  <si>
    <t>08/29/2021</t>
  </si>
  <si>
    <t>08/22/2021</t>
  </si>
  <si>
    <t>08/15/2021</t>
  </si>
  <si>
    <t>07/25/2021</t>
  </si>
  <si>
    <t>07/18/2021</t>
  </si>
  <si>
    <t>06/27/2021</t>
  </si>
  <si>
    <t>06/20/2021</t>
  </si>
  <si>
    <t>06/13/2021</t>
  </si>
  <si>
    <t>05/30/2021</t>
  </si>
  <si>
    <t>05/23/2021</t>
  </si>
  <si>
    <t>05/16/2021</t>
  </si>
  <si>
    <t>04/25/2021</t>
  </si>
  <si>
    <t>04/18/2021</t>
  </si>
  <si>
    <t>03/28/2021</t>
  </si>
  <si>
    <t>03/21/2021</t>
  </si>
  <si>
    <t>03/14/2021</t>
  </si>
  <si>
    <t>02/28/2021</t>
  </si>
  <si>
    <t>02/21/2021</t>
  </si>
  <si>
    <t>02/14/2021</t>
  </si>
  <si>
    <t>01/31/2021</t>
  </si>
  <si>
    <t>01/24/2021</t>
  </si>
  <si>
    <t>01/17/2021</t>
  </si>
  <si>
    <t>12/27/2020</t>
  </si>
  <si>
    <t>12/20/2020</t>
  </si>
  <si>
    <t>12/13/2020</t>
  </si>
  <si>
    <t>11/29/2020</t>
  </si>
  <si>
    <t>11/22/2020</t>
  </si>
  <si>
    <t>11/15/2020</t>
  </si>
  <si>
    <t>10/25/2020</t>
  </si>
  <si>
    <t>10/18/2020</t>
  </si>
  <si>
    <t>09/27/2020</t>
  </si>
  <si>
    <t>09/20/2020</t>
  </si>
  <si>
    <t>09/13/2020</t>
  </si>
  <si>
    <t>08/30/2020</t>
  </si>
  <si>
    <t>08/23/2020</t>
  </si>
  <si>
    <t>08/16/2020</t>
  </si>
  <si>
    <t>07/26/2020</t>
  </si>
  <si>
    <t>07/19/2020</t>
  </si>
  <si>
    <t>06/28/2020</t>
  </si>
  <si>
    <t>06/21/2020</t>
  </si>
  <si>
    <t>06/14/2020</t>
  </si>
  <si>
    <t>05/31/2020</t>
  </si>
  <si>
    <t>05/24/2020</t>
  </si>
  <si>
    <t>05/17/2020</t>
  </si>
  <si>
    <t>04/26/2020</t>
  </si>
  <si>
    <t>04/19/2020</t>
  </si>
  <si>
    <t>03/29/2020</t>
  </si>
  <si>
    <t>03/22/2020</t>
  </si>
  <si>
    <t>03/15/2020</t>
  </si>
  <si>
    <t>02/23/2020</t>
  </si>
  <si>
    <t>02/16/2020</t>
  </si>
  <si>
    <t>01/26/2020</t>
  </si>
  <si>
    <t>01/19/2020</t>
  </si>
  <si>
    <t>12/29/2019</t>
  </si>
  <si>
    <t>12/22/2019</t>
  </si>
  <si>
    <t>12/15/2019</t>
  </si>
  <si>
    <t>11/24/2019</t>
  </si>
  <si>
    <t>11/17/2019</t>
  </si>
  <si>
    <t>10/27/2019</t>
  </si>
  <si>
    <t>10/20/2019</t>
  </si>
  <si>
    <t>10/13/2019</t>
  </si>
  <si>
    <t>09/29/2019</t>
  </si>
  <si>
    <t>09/22/2019</t>
  </si>
  <si>
    <t>09/15/2019</t>
  </si>
  <si>
    <t>08/25/2019</t>
  </si>
  <si>
    <t>08/18/2019</t>
  </si>
  <si>
    <t>07/28/2019</t>
  </si>
  <si>
    <t>07/21/2019</t>
  </si>
  <si>
    <t>07/14/2019</t>
  </si>
  <si>
    <t>06/30/2019</t>
  </si>
  <si>
    <t>06/23/2019</t>
  </si>
  <si>
    <t>06/16/2019</t>
  </si>
  <si>
    <t>05/26/2019</t>
  </si>
  <si>
    <t>05/19/2019</t>
  </si>
  <si>
    <t>04/28/2019</t>
  </si>
  <si>
    <t>04/21/2019</t>
  </si>
  <si>
    <t>04/14/2019</t>
  </si>
  <si>
    <t>03/31/2019</t>
  </si>
  <si>
    <t>03/24/2019</t>
  </si>
  <si>
    <t>03/17/2019</t>
  </si>
  <si>
    <t>02/24/2019</t>
  </si>
  <si>
    <t>02/17/2019</t>
  </si>
  <si>
    <t>01/27/2019</t>
  </si>
  <si>
    <t>01/20/2019</t>
  </si>
  <si>
    <t>01/13/2019</t>
  </si>
  <si>
    <t>we don’t calculate beta on absolute numbers as the change will nor be apppropriate</t>
  </si>
  <si>
    <t>regression eq-</t>
  </si>
  <si>
    <t>Y= a+bX</t>
  </si>
  <si>
    <t>Y is dependent, X is independent</t>
  </si>
  <si>
    <t>a, b are constants</t>
  </si>
  <si>
    <t>stock- dependent</t>
  </si>
  <si>
    <t>market- independent</t>
  </si>
  <si>
    <t>pepsico- regression beta</t>
  </si>
  <si>
    <t>rest companies- bottoms up beta</t>
  </si>
  <si>
    <t>beta relevant- rsq=25 above</t>
  </si>
  <si>
    <t>this is bottoms up beta</t>
  </si>
  <si>
    <t>Initial date</t>
  </si>
  <si>
    <t>End date</t>
  </si>
  <si>
    <t>time</t>
  </si>
  <si>
    <t>CAGR</t>
  </si>
  <si>
    <t>ERP</t>
  </si>
  <si>
    <t>rsq- systematic risk</t>
  </si>
  <si>
    <t xml:space="preserve">from erp predictive model- damodaram site </t>
  </si>
  <si>
    <t>on an avg per annum kitne se atx inc karenge kyu 27 pe ana h</t>
  </si>
  <si>
    <t>this is done using the formula of fv, when wacc is given</t>
  </si>
  <si>
    <t>FCFF/WACC-g</t>
  </si>
  <si>
    <t>multiplied by discounting factor</t>
  </si>
  <si>
    <t>us industry based multiples+damodaran</t>
  </si>
  <si>
    <t>from this we can find the values directly</t>
  </si>
  <si>
    <t>ebit+dep is ebidta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</si>
</sst>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_);_(* \(#,##0\);_(* &quot;-&quot;??_);_(@_)"/>
    <numFmt numFmtId="165" formatCode="#,##0;\(#,##0\);&quot;-&quot;"/>
    <numFmt numFmtId="166" formatCode="0&quot; Months&quot;"/>
    <numFmt numFmtId="167" formatCode="0.0%"/>
    <numFmt numFmtId="168" formatCode="_ * #,##0_ ;_ * \-#,##0_ ;_ * &quot;-&quot;??_ ;_ @_ "/>
    <numFmt numFmtId="169" formatCode="0&quot; days&quot;"/>
    <numFmt numFmtId="170" formatCode="_(* #,##0.0_);_(* \(#,##0.0\);_(* &quot;-&quot;??_);_(@_)"/>
    <numFmt numFmtId="171" formatCode="_(* #,##0.0000_);_(* \(#,##0.0000\);_(* &quot;-&quot;??_);_(@_)"/>
    <numFmt numFmtId="172" formatCode="0.0"/>
    <numFmt numFmtId="173" formatCode="0.0&quot;x&quot;"/>
    <numFmt numFmtId="174" formatCode="[$-409]d\-mmm\-yyyy"/>
    <numFmt numFmtId="175" formatCode="\ #,##0.0_);\(#,##0.0\);&quot; - &quot;_);@_)"/>
    <numFmt numFmtId="176" formatCode="_(* #,##0.00_);_(* \(#,##0.00\);_(* &quot;-&quot;??_);_(@_)"/>
    <numFmt numFmtId="177" formatCode="[$-14009]dd\ mmmm\ yyyy"/>
    <numFmt numFmtId="178" formatCode="0\ &quot;bn&quot;"/>
    <numFmt numFmtId="179" formatCode="0.0E+00"/>
    <numFmt numFmtId="180" formatCode="0.000000000000%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i/>
      <sz val="10"/>
      <color theme="1"/>
      <name val="Calibri"/>
      <family val="2"/>
    </font>
    <font>
      <b/>
      <i/>
      <sz val="10"/>
      <color theme="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993366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i/>
      <sz val="10"/>
      <color rgb="FF993366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i/>
      <sz val="10"/>
      <color theme="4"/>
      <name val="Calibri"/>
      <family val="2"/>
    </font>
    <font>
      <sz val="10"/>
      <color rgb="FF44546A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theme="0"/>
      <name val="Calibri"/>
      <family val="2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sz val="11"/>
      <color rgb="FF333333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2060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6">
    <xf numFmtId="0" fontId="0" fillId="0" borderId="0" xfId="0"/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164" fontId="7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164" fontId="7" fillId="0" borderId="0" xfId="0" applyNumberFormat="1" applyFont="1" applyAlignment="1">
      <alignment horizontal="right" vertical="top" wrapText="1"/>
    </xf>
    <xf numFmtId="0" fontId="10" fillId="0" borderId="0" xfId="0" applyFont="1"/>
    <xf numFmtId="165" fontId="11" fillId="0" borderId="0" xfId="0" applyNumberFormat="1" applyFont="1" applyAlignment="1">
      <alignment horizontal="left" vertical="top"/>
    </xf>
    <xf numFmtId="0" fontId="12" fillId="0" borderId="0" xfId="0" applyFont="1"/>
    <xf numFmtId="0" fontId="3" fillId="0" borderId="0" xfId="0" applyFont="1"/>
    <xf numFmtId="166" fontId="4" fillId="2" borderId="0" xfId="0" applyNumberFormat="1" applyFont="1" applyFill="1" applyAlignment="1">
      <alignment horizontal="center" vertical="top"/>
    </xf>
    <xf numFmtId="166" fontId="4" fillId="3" borderId="0" xfId="0" applyNumberFormat="1" applyFont="1" applyFill="1" applyAlignment="1">
      <alignment horizontal="center" vertical="top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65" fontId="11" fillId="0" borderId="5" xfId="0" applyNumberFormat="1" applyFont="1" applyBorder="1" applyAlignment="1">
      <alignment horizontal="center" vertical="top" wrapText="1"/>
    </xf>
    <xf numFmtId="167" fontId="0" fillId="0" borderId="0" xfId="2" applyNumberFormat="1" applyFont="1"/>
    <xf numFmtId="167" fontId="0" fillId="6" borderId="5" xfId="2" applyNumberFormat="1" applyFont="1" applyFill="1" applyBorder="1"/>
    <xf numFmtId="43" fontId="0" fillId="0" borderId="0" xfId="1" applyFont="1"/>
    <xf numFmtId="168" fontId="9" fillId="0" borderId="0" xfId="1" applyNumberFormat="1" applyFont="1" applyAlignment="1">
      <alignment horizontal="left" vertical="top" wrapText="1"/>
    </xf>
    <xf numFmtId="168" fontId="0" fillId="0" borderId="0" xfId="1" applyNumberFormat="1" applyFont="1"/>
    <xf numFmtId="168" fontId="3" fillId="0" borderId="1" xfId="1" applyNumberFormat="1" applyFont="1" applyBorder="1"/>
    <xf numFmtId="168" fontId="3" fillId="0" borderId="0" xfId="1" applyNumberFormat="1" applyFont="1"/>
    <xf numFmtId="168" fontId="0" fillId="7" borderId="0" xfId="1" applyNumberFormat="1" applyFont="1" applyFill="1"/>
    <xf numFmtId="167" fontId="0" fillId="7" borderId="0" xfId="2" applyNumberFormat="1" applyFont="1" applyFill="1"/>
    <xf numFmtId="0" fontId="0" fillId="7" borderId="0" xfId="0" applyFill="1"/>
    <xf numFmtId="168" fontId="3" fillId="7" borderId="1" xfId="1" applyNumberFormat="1" applyFont="1" applyFill="1" applyBorder="1"/>
    <xf numFmtId="168" fontId="0" fillId="8" borderId="0" xfId="1" applyNumberFormat="1" applyFont="1" applyFill="1"/>
    <xf numFmtId="167" fontId="0" fillId="8" borderId="0" xfId="2" applyNumberFormat="1" applyFont="1" applyFill="1"/>
    <xf numFmtId="0" fontId="0" fillId="8" borderId="0" xfId="0" applyFill="1"/>
    <xf numFmtId="168" fontId="3" fillId="8" borderId="1" xfId="1" applyNumberFormat="1" applyFont="1" applyFill="1" applyBorder="1"/>
    <xf numFmtId="0" fontId="9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2" fillId="0" borderId="0" xfId="0" applyFont="1"/>
    <xf numFmtId="0" fontId="2" fillId="7" borderId="0" xfId="0" applyFont="1" applyFill="1"/>
    <xf numFmtId="168" fontId="3" fillId="7" borderId="0" xfId="1" applyNumberFormat="1" applyFont="1" applyFill="1"/>
    <xf numFmtId="0" fontId="11" fillId="0" borderId="0" xfId="0" applyFont="1" applyAlignment="1">
      <alignment vertical="top"/>
    </xf>
    <xf numFmtId="0" fontId="17" fillId="0" borderId="0" xfId="0" applyFont="1" applyAlignment="1">
      <alignment vertical="top"/>
    </xf>
    <xf numFmtId="168" fontId="0" fillId="0" borderId="6" xfId="1" applyNumberFormat="1" applyFont="1" applyBorder="1"/>
    <xf numFmtId="168" fontId="0" fillId="0" borderId="1" xfId="1" applyNumberFormat="1" applyFont="1" applyBorder="1"/>
    <xf numFmtId="0" fontId="21" fillId="2" borderId="0" xfId="0" applyFont="1" applyFill="1" applyAlignment="1">
      <alignment vertical="top"/>
    </xf>
    <xf numFmtId="0" fontId="21" fillId="2" borderId="0" xfId="0" applyFont="1" applyFill="1" applyAlignment="1">
      <alignment vertical="top" wrapText="1"/>
    </xf>
    <xf numFmtId="0" fontId="22" fillId="0" borderId="0" xfId="0" applyFont="1"/>
    <xf numFmtId="165" fontId="23" fillId="0" borderId="0" xfId="0" applyNumberFormat="1" applyFont="1" applyAlignment="1">
      <alignment horizontal="left" vertical="top"/>
    </xf>
    <xf numFmtId="0" fontId="2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0" fillId="0" borderId="1" xfId="0" applyBorder="1"/>
    <xf numFmtId="9" fontId="0" fillId="0" borderId="0" xfId="2" applyFont="1"/>
    <xf numFmtId="167" fontId="0" fillId="0" borderId="0" xfId="0" applyNumberFormat="1"/>
    <xf numFmtId="168" fontId="0" fillId="0" borderId="0" xfId="0" applyNumberFormat="1"/>
    <xf numFmtId="168" fontId="0" fillId="0" borderId="6" xfId="0" applyNumberFormat="1" applyBorder="1"/>
    <xf numFmtId="9" fontId="0" fillId="6" borderId="5" xfId="0" applyNumberFormat="1" applyFill="1" applyBorder="1"/>
    <xf numFmtId="167" fontId="0" fillId="6" borderId="5" xfId="0" applyNumberFormat="1" applyFill="1" applyBorder="1"/>
    <xf numFmtId="43" fontId="0" fillId="6" borderId="5" xfId="1" applyFont="1" applyFill="1" applyBorder="1"/>
    <xf numFmtId="43" fontId="0" fillId="0" borderId="0" xfId="0" applyNumberFormat="1"/>
    <xf numFmtId="168" fontId="0" fillId="0" borderId="1" xfId="0" applyNumberFormat="1" applyBorder="1"/>
    <xf numFmtId="168" fontId="0" fillId="0" borderId="0" xfId="1" applyNumberFormat="1" applyFont="1" applyFill="1"/>
    <xf numFmtId="168" fontId="0" fillId="0" borderId="0" xfId="1" applyNumberFormat="1" applyFont="1" applyBorder="1"/>
    <xf numFmtId="43" fontId="0" fillId="7" borderId="0" xfId="1" applyFont="1" applyFill="1"/>
    <xf numFmtId="168" fontId="0" fillId="7" borderId="0" xfId="0" applyNumberFormat="1" applyFill="1"/>
    <xf numFmtId="168" fontId="2" fillId="7" borderId="0" xfId="1" applyNumberFormat="1" applyFont="1" applyFill="1"/>
    <xf numFmtId="168" fontId="3" fillId="7" borderId="6" xfId="1" applyNumberFormat="1" applyFont="1" applyFill="1" applyBorder="1"/>
    <xf numFmtId="164" fontId="24" fillId="0" borderId="0" xfId="0" applyNumberFormat="1" applyFont="1" applyAlignment="1">
      <alignment horizontal="right" vertical="top" wrapText="1"/>
    </xf>
    <xf numFmtId="168" fontId="0" fillId="7" borderId="6" xfId="1" applyNumberFormat="1" applyFont="1" applyFill="1" applyBorder="1"/>
    <xf numFmtId="164" fontId="24" fillId="7" borderId="0" xfId="0" applyNumberFormat="1" applyFont="1" applyFill="1" applyAlignment="1">
      <alignment horizontal="right" vertical="top" wrapText="1"/>
    </xf>
    <xf numFmtId="167" fontId="0" fillId="7" borderId="0" xfId="0" applyNumberFormat="1" applyFill="1"/>
    <xf numFmtId="168" fontId="2" fillId="0" borderId="0" xfId="1" applyNumberFormat="1" applyFont="1"/>
    <xf numFmtId="168" fontId="3" fillId="0" borderId="6" xfId="1" applyNumberFormat="1" applyFont="1" applyBorder="1"/>
    <xf numFmtId="164" fontId="16" fillId="0" borderId="0" xfId="0" applyNumberFormat="1" applyFont="1" applyAlignment="1">
      <alignment horizontal="right" vertical="top" wrapText="1"/>
    </xf>
    <xf numFmtId="164" fontId="26" fillId="0" borderId="0" xfId="0" applyNumberFormat="1" applyFont="1" applyAlignment="1">
      <alignment horizontal="right" vertical="top" wrapText="1"/>
    </xf>
    <xf numFmtId="43" fontId="0" fillId="7" borderId="0" xfId="0" applyNumberFormat="1" applyFill="1"/>
    <xf numFmtId="169" fontId="5" fillId="0" borderId="0" xfId="0" applyNumberFormat="1" applyFont="1" applyAlignment="1">
      <alignment vertical="top"/>
    </xf>
    <xf numFmtId="169" fontId="0" fillId="0" borderId="0" xfId="0" applyNumberFormat="1"/>
    <xf numFmtId="169" fontId="0" fillId="6" borderId="5" xfId="0" applyNumberFormat="1" applyFill="1" applyBorder="1"/>
    <xf numFmtId="164" fontId="26" fillId="7" borderId="0" xfId="0" applyNumberFormat="1" applyFont="1" applyFill="1" applyAlignment="1">
      <alignment horizontal="right" vertical="top" wrapText="1"/>
    </xf>
    <xf numFmtId="9" fontId="0" fillId="6" borderId="5" xfId="2" applyFont="1" applyFill="1" applyBorder="1"/>
    <xf numFmtId="9" fontId="0" fillId="7" borderId="0" xfId="2" applyFont="1" applyFill="1"/>
    <xf numFmtId="9" fontId="0" fillId="6" borderId="7" xfId="2" applyFont="1" applyFill="1" applyBorder="1"/>
    <xf numFmtId="9" fontId="0" fillId="6" borderId="8" xfId="2" applyFont="1" applyFill="1" applyBorder="1"/>
    <xf numFmtId="9" fontId="0" fillId="6" borderId="9" xfId="2" applyFont="1" applyFill="1" applyBorder="1"/>
    <xf numFmtId="0" fontId="0" fillId="0" borderId="0" xfId="0" applyAlignment="1">
      <alignment horizontal="center" wrapText="1"/>
    </xf>
    <xf numFmtId="0" fontId="0" fillId="7" borderId="10" xfId="0" applyFill="1" applyBorder="1"/>
    <xf numFmtId="168" fontId="3" fillId="7" borderId="11" xfId="1" applyNumberFormat="1" applyFont="1" applyFill="1" applyBorder="1"/>
    <xf numFmtId="0" fontId="2" fillId="7" borderId="11" xfId="0" applyFont="1" applyFill="1" applyBorder="1"/>
    <xf numFmtId="168" fontId="2" fillId="7" borderId="11" xfId="1" applyNumberFormat="1" applyFont="1" applyFill="1" applyBorder="1"/>
    <xf numFmtId="168" fontId="0" fillId="7" borderId="11" xfId="1" applyNumberFormat="1" applyFont="1" applyFill="1" applyBorder="1"/>
    <xf numFmtId="168" fontId="3" fillId="7" borderId="12" xfId="1" applyNumberFormat="1" applyFont="1" applyFill="1" applyBorder="1"/>
    <xf numFmtId="164" fontId="26" fillId="7" borderId="11" xfId="0" applyNumberFormat="1" applyFont="1" applyFill="1" applyBorder="1" applyAlignment="1">
      <alignment horizontal="right" vertical="top" wrapText="1"/>
    </xf>
    <xf numFmtId="168" fontId="3" fillId="7" borderId="13" xfId="1" applyNumberFormat="1" applyFont="1" applyFill="1" applyBorder="1"/>
    <xf numFmtId="43" fontId="0" fillId="7" borderId="14" xfId="1" applyFont="1" applyFill="1" applyBorder="1"/>
    <xf numFmtId="15" fontId="13" fillId="2" borderId="0" xfId="0" applyNumberFormat="1" applyFont="1" applyFill="1" applyAlignment="1">
      <alignment horizontal="center" vertical="top" wrapText="1"/>
    </xf>
    <xf numFmtId="15" fontId="13" fillId="10" borderId="0" xfId="0" applyNumberFormat="1" applyFont="1" applyFill="1" applyAlignment="1">
      <alignment horizontal="center" vertical="top" wrapText="1"/>
    </xf>
    <xf numFmtId="9" fontId="0" fillId="0" borderId="0" xfId="0" applyNumberFormat="1"/>
    <xf numFmtId="0" fontId="17" fillId="0" borderId="0" xfId="0" applyFont="1"/>
    <xf numFmtId="0" fontId="1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64" fontId="10" fillId="0" borderId="0" xfId="0" applyNumberFormat="1" applyFont="1"/>
    <xf numFmtId="0" fontId="10" fillId="0" borderId="0" xfId="0" applyFont="1" applyAlignment="1">
      <alignment horizontal="left" wrapText="1"/>
    </xf>
    <xf numFmtId="168" fontId="3" fillId="0" borderId="6" xfId="0" applyNumberFormat="1" applyFont="1" applyBorder="1"/>
    <xf numFmtId="164" fontId="17" fillId="0" borderId="6" xfId="0" applyNumberFormat="1" applyFont="1" applyBorder="1"/>
    <xf numFmtId="164" fontId="10" fillId="8" borderId="0" xfId="0" applyNumberFormat="1" applyFont="1" applyFill="1"/>
    <xf numFmtId="164" fontId="17" fillId="8" borderId="6" xfId="0" applyNumberFormat="1" applyFont="1" applyFill="1" applyBorder="1"/>
    <xf numFmtId="164" fontId="10" fillId="0" borderId="6" xfId="0" applyNumberFormat="1" applyFont="1" applyBorder="1"/>
    <xf numFmtId="168" fontId="3" fillId="0" borderId="1" xfId="0" applyNumberFormat="1" applyFont="1" applyBorder="1"/>
    <xf numFmtId="17" fontId="4" fillId="5" borderId="0" xfId="0" applyNumberFormat="1" applyFont="1" applyFill="1"/>
    <xf numFmtId="164" fontId="0" fillId="0" borderId="0" xfId="0" applyNumberFormat="1"/>
    <xf numFmtId="0" fontId="17" fillId="12" borderId="0" xfId="0" applyFont="1" applyFill="1"/>
    <xf numFmtId="0" fontId="10" fillId="11" borderId="0" xfId="0" applyFont="1" applyFill="1"/>
    <xf numFmtId="0" fontId="10" fillId="12" borderId="0" xfId="0" applyFont="1" applyFill="1"/>
    <xf numFmtId="166" fontId="10" fillId="13" borderId="0" xfId="0" applyNumberFormat="1" applyFont="1" applyFill="1"/>
    <xf numFmtId="0" fontId="10" fillId="12" borderId="15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/>
    </xf>
    <xf numFmtId="17" fontId="10" fillId="0" borderId="0" xfId="0" applyNumberFormat="1" applyFont="1"/>
    <xf numFmtId="17" fontId="17" fillId="14" borderId="0" xfId="0" applyNumberFormat="1" applyFont="1" applyFill="1"/>
    <xf numFmtId="1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43" fontId="10" fillId="0" borderId="0" xfId="0" applyNumberFormat="1" applyFont="1"/>
    <xf numFmtId="0" fontId="11" fillId="0" borderId="0" xfId="0" applyFont="1" applyAlignment="1">
      <alignment horizontal="left"/>
    </xf>
    <xf numFmtId="164" fontId="17" fillId="0" borderId="16" xfId="0" applyNumberFormat="1" applyFont="1" applyBorder="1"/>
    <xf numFmtId="164" fontId="17" fillId="0" borderId="0" xfId="0" applyNumberFormat="1" applyFont="1"/>
    <xf numFmtId="10" fontId="10" fillId="0" borderId="0" xfId="0" applyNumberFormat="1" applyFont="1"/>
    <xf numFmtId="10" fontId="28" fillId="15" borderId="0" xfId="0" applyNumberFormat="1" applyFont="1" applyFill="1"/>
    <xf numFmtId="0" fontId="29" fillId="0" borderId="0" xfId="0" applyFont="1" applyAlignment="1">
      <alignment vertical="top"/>
    </xf>
    <xf numFmtId="0" fontId="13" fillId="16" borderId="0" xfId="0" applyFont="1" applyFill="1" applyAlignment="1">
      <alignment vertical="top"/>
    </xf>
    <xf numFmtId="0" fontId="30" fillId="0" borderId="0" xfId="0" applyFont="1" applyAlignment="1">
      <alignment vertical="top"/>
    </xf>
    <xf numFmtId="15" fontId="29" fillId="0" borderId="0" xfId="0" applyNumberFormat="1" applyFont="1" applyAlignment="1">
      <alignment vertical="top"/>
    </xf>
    <xf numFmtId="0" fontId="1" fillId="0" borderId="0" xfId="0" applyFont="1"/>
    <xf numFmtId="164" fontId="29" fillId="0" borderId="0" xfId="0" applyNumberFormat="1" applyFont="1" applyAlignment="1">
      <alignment vertical="top"/>
    </xf>
    <xf numFmtId="0" fontId="31" fillId="0" borderId="0" xfId="0" applyFont="1" applyAlignment="1">
      <alignment vertical="top"/>
    </xf>
    <xf numFmtId="0" fontId="32" fillId="0" borderId="0" xfId="0" applyFont="1" applyAlignment="1">
      <alignment vertical="top"/>
    </xf>
    <xf numFmtId="15" fontId="31" fillId="0" borderId="0" xfId="0" applyNumberFormat="1" applyFont="1" applyAlignment="1">
      <alignment horizontal="right" vertical="top"/>
    </xf>
    <xf numFmtId="17" fontId="4" fillId="5" borderId="0" xfId="0" applyNumberFormat="1" applyFont="1" applyFill="1" applyAlignment="1">
      <alignment horizontal="center"/>
    </xf>
    <xf numFmtId="167" fontId="29" fillId="0" borderId="0" xfId="0" applyNumberFormat="1" applyFont="1" applyAlignment="1">
      <alignment vertical="top"/>
    </xf>
    <xf numFmtId="15" fontId="31" fillId="0" borderId="0" xfId="0" applyNumberFormat="1" applyFont="1" applyAlignment="1">
      <alignment vertical="top"/>
    </xf>
    <xf numFmtId="164" fontId="31" fillId="0" borderId="17" xfId="0" applyNumberFormat="1" applyFont="1" applyBorder="1" applyAlignment="1">
      <alignment vertical="top"/>
    </xf>
    <xf numFmtId="164" fontId="31" fillId="0" borderId="0" xfId="0" applyNumberFormat="1" applyFont="1" applyAlignment="1">
      <alignment vertical="top"/>
    </xf>
    <xf numFmtId="0" fontId="29" fillId="0" borderId="0" xfId="0" applyFont="1" applyAlignment="1">
      <alignment horizontal="left" vertical="top"/>
    </xf>
    <xf numFmtId="164" fontId="29" fillId="0" borderId="0" xfId="0" applyNumberFormat="1" applyFont="1" applyAlignment="1">
      <alignment horizontal="left" vertical="top"/>
    </xf>
    <xf numFmtId="9" fontId="29" fillId="0" borderId="0" xfId="0" applyNumberFormat="1" applyFont="1" applyAlignment="1">
      <alignment vertical="top"/>
    </xf>
    <xf numFmtId="43" fontId="29" fillId="0" borderId="0" xfId="0" applyNumberFormat="1" applyFont="1" applyAlignment="1">
      <alignment vertical="top"/>
    </xf>
    <xf numFmtId="170" fontId="29" fillId="0" borderId="0" xfId="0" applyNumberFormat="1" applyFont="1" applyAlignment="1">
      <alignment vertical="top"/>
    </xf>
    <xf numFmtId="43" fontId="29" fillId="0" borderId="0" xfId="0" applyNumberFormat="1" applyFont="1" applyAlignment="1">
      <alignment horizontal="left" vertical="top"/>
    </xf>
    <xf numFmtId="171" fontId="29" fillId="0" borderId="0" xfId="0" applyNumberFormat="1" applyFont="1" applyAlignment="1">
      <alignment vertical="top"/>
    </xf>
    <xf numFmtId="164" fontId="31" fillId="0" borderId="6" xfId="0" applyNumberFormat="1" applyFont="1" applyBorder="1" applyAlignment="1">
      <alignment vertical="top"/>
    </xf>
    <xf numFmtId="172" fontId="29" fillId="0" borderId="0" xfId="0" applyNumberFormat="1" applyFont="1" applyAlignment="1">
      <alignment vertical="top"/>
    </xf>
    <xf numFmtId="164" fontId="31" fillId="0" borderId="0" xfId="0" applyNumberFormat="1" applyFont="1" applyAlignment="1">
      <alignment horizontal="center" vertical="top" wrapText="1"/>
    </xf>
    <xf numFmtId="164" fontId="29" fillId="0" borderId="18" xfId="0" applyNumberFormat="1" applyFont="1" applyBorder="1" applyAlignment="1">
      <alignment vertical="top"/>
    </xf>
    <xf numFmtId="167" fontId="29" fillId="0" borderId="19" xfId="0" applyNumberFormat="1" applyFont="1" applyBorder="1" applyAlignment="1">
      <alignment vertical="top"/>
    </xf>
    <xf numFmtId="10" fontId="29" fillId="0" borderId="0" xfId="0" applyNumberFormat="1" applyFont="1" applyAlignment="1">
      <alignment vertical="top"/>
    </xf>
    <xf numFmtId="167" fontId="29" fillId="0" borderId="0" xfId="0" applyNumberFormat="1" applyFont="1" applyAlignment="1">
      <alignment horizontal="center" vertical="top" wrapText="1"/>
    </xf>
    <xf numFmtId="170" fontId="29" fillId="0" borderId="21" xfId="0" applyNumberFormat="1" applyFont="1" applyBorder="1" applyAlignment="1">
      <alignment vertical="top"/>
    </xf>
    <xf numFmtId="170" fontId="29" fillId="0" borderId="6" xfId="0" applyNumberFormat="1" applyFont="1" applyBorder="1" applyAlignment="1">
      <alignment vertical="top"/>
    </xf>
    <xf numFmtId="170" fontId="29" fillId="0" borderId="22" xfId="0" applyNumberFormat="1" applyFont="1" applyBorder="1" applyAlignment="1">
      <alignment vertical="top"/>
    </xf>
    <xf numFmtId="0" fontId="31" fillId="0" borderId="24" xfId="0" applyFont="1" applyBorder="1" applyAlignment="1">
      <alignment vertical="top"/>
    </xf>
    <xf numFmtId="0" fontId="31" fillId="0" borderId="25" xfId="0" applyFont="1" applyBorder="1" applyAlignment="1">
      <alignment vertical="top"/>
    </xf>
    <xf numFmtId="164" fontId="31" fillId="0" borderId="26" xfId="0" applyNumberFormat="1" applyFont="1" applyBorder="1" applyAlignment="1">
      <alignment vertical="top"/>
    </xf>
    <xf numFmtId="164" fontId="29" fillId="0" borderId="23" xfId="0" applyNumberFormat="1" applyFont="1" applyBorder="1" applyAlignment="1">
      <alignment vertical="top"/>
    </xf>
    <xf numFmtId="173" fontId="29" fillId="0" borderId="0" xfId="0" applyNumberFormat="1" applyFont="1" applyAlignment="1">
      <alignment vertical="top"/>
    </xf>
    <xf numFmtId="0" fontId="35" fillId="0" borderId="0" xfId="0" applyFont="1" applyAlignment="1">
      <alignment vertical="top"/>
    </xf>
    <xf numFmtId="0" fontId="36" fillId="16" borderId="0" xfId="0" applyFont="1" applyFill="1" applyAlignment="1">
      <alignment vertical="top"/>
    </xf>
    <xf numFmtId="0" fontId="35" fillId="0" borderId="0" xfId="0" applyFont="1"/>
    <xf numFmtId="0" fontId="37" fillId="0" borderId="0" xfId="0" applyFont="1" applyAlignment="1">
      <alignment vertical="top"/>
    </xf>
    <xf numFmtId="0" fontId="38" fillId="0" borderId="0" xfId="0" applyFont="1" applyAlignment="1">
      <alignment horizontal="right" vertical="top" wrapText="1"/>
    </xf>
    <xf numFmtId="0" fontId="38" fillId="0" borderId="0" xfId="0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8" fillId="0" borderId="17" xfId="0" applyFont="1" applyBorder="1" applyAlignment="1">
      <alignment horizontal="left" vertical="top" wrapText="1"/>
    </xf>
    <xf numFmtId="165" fontId="35" fillId="0" borderId="17" xfId="0" applyNumberFormat="1" applyFont="1" applyBorder="1" applyAlignment="1">
      <alignment horizontal="center" vertical="top"/>
    </xf>
    <xf numFmtId="0" fontId="38" fillId="0" borderId="17" xfId="0" applyFont="1" applyBorder="1" applyAlignment="1">
      <alignment horizontal="right" vertical="top" wrapText="1"/>
    </xf>
    <xf numFmtId="0" fontId="38" fillId="0" borderId="27" xfId="0" applyFont="1" applyBorder="1" applyAlignment="1">
      <alignment horizontal="right" vertical="top" wrapText="1"/>
    </xf>
    <xf numFmtId="165" fontId="35" fillId="0" borderId="17" xfId="0" applyNumberFormat="1" applyFont="1" applyBorder="1" applyAlignment="1">
      <alignment horizontal="left" vertical="top" wrapText="1"/>
    </xf>
    <xf numFmtId="174" fontId="35" fillId="0" borderId="17" xfId="0" applyNumberFormat="1" applyFont="1" applyBorder="1" applyAlignment="1">
      <alignment horizontal="center" vertical="top" wrapText="1"/>
    </xf>
    <xf numFmtId="10" fontId="37" fillId="0" borderId="17" xfId="0" applyNumberFormat="1" applyFont="1" applyBorder="1" applyAlignment="1">
      <alignment horizontal="right" vertical="top" wrapText="1"/>
    </xf>
    <xf numFmtId="165" fontId="35" fillId="0" borderId="17" xfId="0" applyNumberFormat="1" applyFont="1" applyBorder="1" applyAlignment="1">
      <alignment horizontal="left" vertical="top"/>
    </xf>
    <xf numFmtId="0" fontId="35" fillId="0" borderId="17" xfId="0" applyFont="1" applyBorder="1" applyAlignment="1">
      <alignment horizontal="center" vertical="top" wrapText="1"/>
    </xf>
    <xf numFmtId="167" fontId="37" fillId="0" borderId="17" xfId="0" applyNumberFormat="1" applyFont="1" applyBorder="1" applyAlignment="1">
      <alignment horizontal="right" vertical="top"/>
    </xf>
    <xf numFmtId="167" fontId="37" fillId="0" borderId="17" xfId="0" applyNumberFormat="1" applyFont="1" applyBorder="1" applyAlignment="1">
      <alignment vertical="top"/>
    </xf>
    <xf numFmtId="0" fontId="35" fillId="0" borderId="17" xfId="0" applyFont="1" applyBorder="1" applyAlignment="1">
      <alignment horizontal="left" vertical="top"/>
    </xf>
    <xf numFmtId="167" fontId="37" fillId="0" borderId="0" xfId="0" applyNumberFormat="1" applyFont="1" applyAlignment="1">
      <alignment horizontal="right" vertical="top"/>
    </xf>
    <xf numFmtId="165" fontId="35" fillId="0" borderId="0" xfId="0" applyNumberFormat="1" applyFont="1" applyAlignment="1">
      <alignment horizontal="left" vertical="top" wrapText="1"/>
    </xf>
    <xf numFmtId="165" fontId="35" fillId="0" borderId="0" xfId="0" applyNumberFormat="1" applyFont="1" applyAlignment="1">
      <alignment horizontal="center" vertical="top" wrapText="1"/>
    </xf>
    <xf numFmtId="43" fontId="35" fillId="0" borderId="0" xfId="0" applyNumberFormat="1" applyFont="1" applyAlignment="1">
      <alignment vertical="top"/>
    </xf>
    <xf numFmtId="165" fontId="35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center" vertical="top" wrapText="1"/>
    </xf>
    <xf numFmtId="167" fontId="37" fillId="0" borderId="0" xfId="0" applyNumberFormat="1" applyFont="1" applyAlignment="1">
      <alignment vertical="top"/>
    </xf>
    <xf numFmtId="0" fontId="35" fillId="0" borderId="0" xfId="0" applyFont="1" applyAlignment="1">
      <alignment horizontal="left" vertical="top"/>
    </xf>
    <xf numFmtId="167" fontId="37" fillId="0" borderId="1" xfId="0" applyNumberFormat="1" applyFont="1" applyBorder="1" applyAlignment="1">
      <alignment horizontal="right" vertical="top"/>
    </xf>
    <xf numFmtId="165" fontId="38" fillId="0" borderId="17" xfId="0" applyNumberFormat="1" applyFont="1" applyBorder="1" applyAlignment="1">
      <alignment horizontal="left" vertical="top" wrapText="1"/>
    </xf>
    <xf numFmtId="0" fontId="38" fillId="0" borderId="17" xfId="0" applyFont="1" applyBorder="1" applyAlignment="1">
      <alignment vertical="top"/>
    </xf>
    <xf numFmtId="167" fontId="39" fillId="0" borderId="17" xfId="0" applyNumberFormat="1" applyFont="1" applyBorder="1" applyAlignment="1">
      <alignment horizontal="right" vertical="top"/>
    </xf>
    <xf numFmtId="165" fontId="35" fillId="0" borderId="28" xfId="0" applyNumberFormat="1" applyFont="1" applyBorder="1" applyAlignment="1">
      <alignment horizontal="left" vertical="top" wrapText="1"/>
    </xf>
    <xf numFmtId="175" fontId="37" fillId="0" borderId="0" xfId="0" applyNumberFormat="1" applyFont="1" applyAlignment="1">
      <alignment horizontal="right" vertical="top"/>
    </xf>
    <xf numFmtId="167" fontId="35" fillId="0" borderId="0" xfId="0" applyNumberFormat="1" applyFont="1" applyAlignment="1">
      <alignment vertical="top"/>
    </xf>
    <xf numFmtId="164" fontId="35" fillId="0" borderId="0" xfId="0" applyNumberFormat="1" applyFont="1" applyAlignment="1">
      <alignment vertical="top"/>
    </xf>
    <xf numFmtId="0" fontId="40" fillId="0" borderId="0" xfId="0" applyFont="1" applyAlignment="1">
      <alignment horizontal="left" vertical="top" wrapText="1"/>
    </xf>
    <xf numFmtId="9" fontId="35" fillId="0" borderId="0" xfId="0" applyNumberFormat="1" applyFont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top" wrapText="1"/>
    </xf>
    <xf numFmtId="0" fontId="36" fillId="16" borderId="17" xfId="0" applyFont="1" applyFill="1" applyBorder="1" applyAlignment="1">
      <alignment vertical="top" wrapText="1"/>
    </xf>
    <xf numFmtId="0" fontId="36" fillId="16" borderId="17" xfId="0" applyFont="1" applyFill="1" applyBorder="1" applyAlignment="1">
      <alignment horizontal="right" vertical="top" wrapText="1"/>
    </xf>
    <xf numFmtId="0" fontId="36" fillId="16" borderId="17" xfId="0" applyFont="1" applyFill="1" applyBorder="1" applyAlignment="1">
      <alignment horizontal="center" vertical="top" wrapText="1"/>
    </xf>
    <xf numFmtId="176" fontId="35" fillId="0" borderId="0" xfId="0" applyNumberFormat="1" applyFont="1" applyAlignment="1">
      <alignment vertical="top"/>
    </xf>
    <xf numFmtId="0" fontId="35" fillId="0" borderId="17" xfId="0" applyFont="1" applyBorder="1" applyAlignment="1">
      <alignment vertical="top"/>
    </xf>
    <xf numFmtId="167" fontId="35" fillId="0" borderId="17" xfId="0" applyNumberFormat="1" applyFont="1" applyBorder="1" applyAlignment="1">
      <alignment vertical="top"/>
    </xf>
    <xf numFmtId="43" fontId="38" fillId="0" borderId="0" xfId="0" applyNumberFormat="1" applyFont="1" applyAlignment="1">
      <alignment vertical="top"/>
    </xf>
    <xf numFmtId="167" fontId="35" fillId="0" borderId="0" xfId="0" applyNumberFormat="1" applyFont="1" applyAlignment="1">
      <alignment horizontal="right" vertical="top"/>
    </xf>
    <xf numFmtId="0" fontId="36" fillId="16" borderId="0" xfId="0" applyFont="1" applyFill="1" applyAlignment="1">
      <alignment horizontal="center" vertical="top"/>
    </xf>
    <xf numFmtId="0" fontId="41" fillId="16" borderId="0" xfId="0" applyFont="1" applyFill="1" applyAlignment="1">
      <alignment vertical="top"/>
    </xf>
    <xf numFmtId="177" fontId="35" fillId="0" borderId="0" xfId="0" applyNumberFormat="1" applyFont="1" applyAlignment="1">
      <alignment horizontal="left" vertical="top"/>
    </xf>
    <xf numFmtId="2" fontId="35" fillId="0" borderId="0" xfId="0" applyNumberFormat="1" applyFont="1" applyAlignment="1">
      <alignment vertical="top"/>
    </xf>
    <xf numFmtId="3" fontId="35" fillId="0" borderId="0" xfId="0" applyNumberFormat="1" applyFont="1" applyAlignment="1">
      <alignment vertical="top"/>
    </xf>
    <xf numFmtId="17" fontId="35" fillId="0" borderId="0" xfId="0" applyNumberFormat="1" applyFont="1" applyAlignment="1">
      <alignment horizontal="left" vertical="top"/>
    </xf>
    <xf numFmtId="172" fontId="35" fillId="0" borderId="0" xfId="0" applyNumberFormat="1" applyFont="1" applyAlignment="1">
      <alignment vertical="top"/>
    </xf>
    <xf numFmtId="0" fontId="38" fillId="0" borderId="0" xfId="0" applyFont="1"/>
    <xf numFmtId="0" fontId="38" fillId="0" borderId="0" xfId="0" applyFont="1" applyAlignment="1">
      <alignment wrapText="1"/>
    </xf>
    <xf numFmtId="168" fontId="35" fillId="0" borderId="0" xfId="0" applyNumberFormat="1" applyFont="1" applyAlignment="1">
      <alignment vertical="top"/>
    </xf>
    <xf numFmtId="1" fontId="35" fillId="0" borderId="0" xfId="0" applyNumberFormat="1" applyFont="1"/>
    <xf numFmtId="43" fontId="35" fillId="0" borderId="6" xfId="0" applyNumberFormat="1" applyFont="1" applyBorder="1" applyAlignment="1">
      <alignment vertical="top"/>
    </xf>
    <xf numFmtId="0" fontId="36" fillId="16" borderId="29" xfId="0" applyFont="1" applyFill="1" applyBorder="1"/>
    <xf numFmtId="0" fontId="36" fillId="16" borderId="30" xfId="0" applyFont="1" applyFill="1" applyBorder="1"/>
    <xf numFmtId="0" fontId="13" fillId="16" borderId="31" xfId="0" applyFont="1" applyFill="1" applyBorder="1"/>
    <xf numFmtId="0" fontId="36" fillId="16" borderId="32" xfId="0" applyFont="1" applyFill="1" applyBorder="1"/>
    <xf numFmtId="0" fontId="29" fillId="0" borderId="33" xfId="0" applyFont="1" applyBorder="1"/>
    <xf numFmtId="43" fontId="29" fillId="0" borderId="34" xfId="0" applyNumberFormat="1" applyFont="1" applyBorder="1"/>
    <xf numFmtId="178" fontId="29" fillId="0" borderId="35" xfId="0" applyNumberFormat="1" applyFont="1" applyBorder="1"/>
    <xf numFmtId="179" fontId="29" fillId="0" borderId="0" xfId="0" applyNumberFormat="1" applyFont="1"/>
    <xf numFmtId="178" fontId="29" fillId="0" borderId="34" xfId="0" applyNumberFormat="1" applyFont="1" applyBorder="1"/>
    <xf numFmtId="0" fontId="29" fillId="0" borderId="33" xfId="0" applyFont="1" applyBorder="1" applyAlignment="1">
      <alignment wrapText="1"/>
    </xf>
    <xf numFmtId="0" fontId="29" fillId="0" borderId="0" xfId="0" applyFont="1" applyAlignment="1">
      <alignment wrapText="1"/>
    </xf>
    <xf numFmtId="43" fontId="29" fillId="0" borderId="0" xfId="0" applyNumberFormat="1" applyFont="1"/>
    <xf numFmtId="0" fontId="30" fillId="0" borderId="0" xfId="0" applyFont="1"/>
    <xf numFmtId="0" fontId="43" fillId="0" borderId="0" xfId="0" applyFont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29" fillId="0" borderId="4" xfId="0" applyFont="1" applyBorder="1"/>
    <xf numFmtId="0" fontId="29" fillId="0" borderId="38" xfId="0" applyFont="1" applyBorder="1"/>
    <xf numFmtId="0" fontId="29" fillId="0" borderId="15" xfId="0" applyFont="1" applyBorder="1"/>
    <xf numFmtId="0" fontId="29" fillId="0" borderId="39" xfId="0" applyFont="1" applyBorder="1"/>
    <xf numFmtId="0" fontId="29" fillId="0" borderId="40" xfId="0" applyFont="1" applyBorder="1" applyAlignment="1">
      <alignment horizontal="left"/>
    </xf>
    <xf numFmtId="0" fontId="44" fillId="18" borderId="0" xfId="0" applyFont="1" applyFill="1" applyAlignment="1">
      <alignment horizontal="left" vertical="center" readingOrder="1"/>
    </xf>
    <xf numFmtId="10" fontId="29" fillId="0" borderId="20" xfId="0" applyNumberFormat="1" applyFont="1" applyBorder="1"/>
    <xf numFmtId="10" fontId="29" fillId="0" borderId="0" xfId="0" applyNumberFormat="1" applyFont="1"/>
    <xf numFmtId="4" fontId="29" fillId="0" borderId="0" xfId="0" applyNumberFormat="1" applyFont="1"/>
    <xf numFmtId="14" fontId="29" fillId="0" borderId="40" xfId="0" applyNumberFormat="1" applyFont="1" applyBorder="1" applyAlignment="1">
      <alignment horizontal="left"/>
    </xf>
    <xf numFmtId="14" fontId="29" fillId="0" borderId="38" xfId="0" applyNumberFormat="1" applyFont="1" applyBorder="1" applyAlignment="1">
      <alignment horizontal="left"/>
    </xf>
    <xf numFmtId="0" fontId="44" fillId="18" borderId="15" xfId="0" applyFont="1" applyFill="1" applyBorder="1" applyAlignment="1">
      <alignment horizontal="left" vertical="center" readingOrder="1"/>
    </xf>
    <xf numFmtId="4" fontId="29" fillId="0" borderId="15" xfId="0" applyNumberFormat="1" applyFont="1" applyBorder="1"/>
    <xf numFmtId="14" fontId="29" fillId="0" borderId="0" xfId="0" applyNumberFormat="1" applyFont="1"/>
    <xf numFmtId="0" fontId="29" fillId="19" borderId="33" xfId="0" applyFont="1" applyFill="1" applyBorder="1" applyAlignment="1">
      <alignment wrapText="1"/>
    </xf>
    <xf numFmtId="43" fontId="29" fillId="19" borderId="34" xfId="0" applyNumberFormat="1" applyFont="1" applyFill="1" applyBorder="1"/>
    <xf numFmtId="178" fontId="29" fillId="19" borderId="34" xfId="0" applyNumberFormat="1" applyFont="1" applyFill="1" applyBorder="1"/>
    <xf numFmtId="0" fontId="29" fillId="19" borderId="36" xfId="0" applyFont="1" applyFill="1" applyBorder="1" applyAlignment="1">
      <alignment wrapText="1"/>
    </xf>
    <xf numFmtId="178" fontId="29" fillId="19" borderId="37" xfId="0" applyNumberFormat="1" applyFont="1" applyFill="1" applyBorder="1"/>
    <xf numFmtId="2" fontId="35" fillId="0" borderId="17" xfId="0" applyNumberFormat="1" applyFont="1" applyBorder="1" applyAlignment="1">
      <alignment vertical="top"/>
    </xf>
    <xf numFmtId="14" fontId="35" fillId="0" borderId="0" xfId="0" applyNumberFormat="1" applyFont="1"/>
    <xf numFmtId="9" fontId="35" fillId="0" borderId="0" xfId="0" applyNumberFormat="1" applyFont="1"/>
    <xf numFmtId="180" fontId="35" fillId="0" borderId="0" xfId="0" applyNumberFormat="1" applyFont="1"/>
    <xf numFmtId="167" fontId="37" fillId="0" borderId="0" xfId="2" applyNumberFormat="1" applyFont="1" applyAlignment="1">
      <alignment horizontal="right" vertical="top"/>
    </xf>
    <xf numFmtId="10" fontId="37" fillId="0" borderId="28" xfId="0" applyNumberFormat="1" applyFont="1" applyBorder="1" applyAlignment="1">
      <alignment horizontal="right" vertical="top"/>
    </xf>
    <xf numFmtId="10" fontId="29" fillId="17" borderId="0" xfId="0" applyNumberFormat="1" applyFont="1" applyFill="1" applyAlignment="1">
      <alignment vertical="top"/>
    </xf>
    <xf numFmtId="170" fontId="29" fillId="8" borderId="23" xfId="0" applyNumberFormat="1" applyFont="1" applyFill="1" applyBorder="1" applyAlignment="1">
      <alignment vertical="top"/>
    </xf>
    <xf numFmtId="170" fontId="29" fillId="8" borderId="41" xfId="0" applyNumberFormat="1" applyFont="1" applyFill="1" applyBorder="1" applyAlignment="1">
      <alignment vertical="top"/>
    </xf>
    <xf numFmtId="170" fontId="29" fillId="8" borderId="42" xfId="0" applyNumberFormat="1" applyFont="1" applyFill="1" applyBorder="1" applyAlignment="1">
      <alignment vertical="top"/>
    </xf>
    <xf numFmtId="170" fontId="29" fillId="8" borderId="33" xfId="0" applyNumberFormat="1" applyFont="1" applyFill="1" applyBorder="1" applyAlignment="1">
      <alignment vertical="top"/>
    </xf>
    <xf numFmtId="170" fontId="29" fillId="8" borderId="0" xfId="0" applyNumberFormat="1" applyFont="1" applyFill="1" applyAlignment="1">
      <alignment vertical="top"/>
    </xf>
    <xf numFmtId="170" fontId="29" fillId="8" borderId="43" xfId="0" applyNumberFormat="1" applyFont="1" applyFill="1" applyBorder="1" applyAlignment="1">
      <alignment vertical="top"/>
    </xf>
    <xf numFmtId="170" fontId="29" fillId="8" borderId="44" xfId="0" applyNumberFormat="1" applyFont="1" applyFill="1" applyBorder="1" applyAlignment="1">
      <alignment vertical="top"/>
    </xf>
    <xf numFmtId="170" fontId="29" fillId="8" borderId="45" xfId="0" applyNumberFormat="1" applyFont="1" applyFill="1" applyBorder="1" applyAlignment="1">
      <alignment vertical="top"/>
    </xf>
    <xf numFmtId="170" fontId="29" fillId="8" borderId="46" xfId="0" applyNumberFormat="1" applyFont="1" applyFill="1" applyBorder="1" applyAlignment="1">
      <alignment vertical="top"/>
    </xf>
    <xf numFmtId="170" fontId="29" fillId="8" borderId="36" xfId="0" applyNumberFormat="1" applyFont="1" applyFill="1" applyBorder="1" applyAlignment="1">
      <alignment vertical="top"/>
    </xf>
    <xf numFmtId="0" fontId="33" fillId="16" borderId="15" xfId="0" applyFont="1" applyFill="1" applyBorder="1" applyAlignment="1">
      <alignment horizontal="center" vertical="top"/>
    </xf>
    <xf numFmtId="0" fontId="34" fillId="0" borderId="15" xfId="0" applyFont="1" applyBorder="1"/>
    <xf numFmtId="164" fontId="33" fillId="16" borderId="20" xfId="0" applyNumberFormat="1" applyFont="1" applyFill="1" applyBorder="1" applyAlignment="1">
      <alignment horizontal="center" vertical="center" textRotation="180"/>
    </xf>
    <xf numFmtId="0" fontId="34" fillId="0" borderId="20" xfId="0" applyFont="1" applyBorder="1"/>
    <xf numFmtId="0" fontId="35" fillId="0" borderId="0" xfId="0" applyFont="1" applyAlignment="1">
      <alignment horizontal="center" vertical="top"/>
    </xf>
    <xf numFmtId="0" fontId="0" fillId="0" borderId="0" xfId="0"/>
    <xf numFmtId="0" fontId="36" fillId="16" borderId="0" xfId="0" applyFont="1" applyFill="1" applyAlignment="1">
      <alignment horizontal="center" vertical="top"/>
    </xf>
    <xf numFmtId="0" fontId="34" fillId="0" borderId="0" xfId="0" applyFont="1"/>
    <xf numFmtId="0" fontId="43" fillId="16" borderId="2" xfId="0" applyFont="1" applyFill="1" applyBorder="1" applyAlignment="1">
      <alignment horizontal="center"/>
    </xf>
    <xf numFmtId="0" fontId="34" fillId="0" borderId="3" xfId="0" applyFont="1" applyBorder="1"/>
    <xf numFmtId="0" fontId="34" fillId="0" borderId="4" xfId="0" applyFont="1" applyBorder="1"/>
    <xf numFmtId="0" fontId="42" fillId="0" borderId="0" xfId="0" applyFont="1" applyAlignment="1">
      <alignment horizontal="center"/>
    </xf>
    <xf numFmtId="165" fontId="23" fillId="0" borderId="2" xfId="0" applyNumberFormat="1" applyFont="1" applyBorder="1" applyAlignment="1">
      <alignment horizontal="center" vertical="top"/>
    </xf>
    <xf numFmtId="0" fontId="25" fillId="0" borderId="3" xfId="0" applyFont="1" applyBorder="1"/>
    <xf numFmtId="0" fontId="25" fillId="0" borderId="4" xfId="0" applyFont="1" applyBorder="1"/>
    <xf numFmtId="165" fontId="11" fillId="0" borderId="2" xfId="0" applyNumberFormat="1" applyFont="1" applyBorder="1" applyAlignment="1">
      <alignment horizontal="center" vertical="top" wrapText="1"/>
    </xf>
    <xf numFmtId="0" fontId="14" fillId="0" borderId="4" xfId="0" applyFont="1" applyBorder="1"/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7" fillId="11" borderId="0" xfId="0" applyFont="1" applyFill="1" applyAlignment="1">
      <alignment horizontal="center"/>
    </xf>
    <xf numFmtId="0" fontId="14" fillId="0" borderId="0" xfId="0" applyFont="1"/>
    <xf numFmtId="0" fontId="10" fillId="11" borderId="0" xfId="0" applyFont="1" applyFill="1" applyAlignment="1">
      <alignment horizontal="center" wrapText="1"/>
    </xf>
    <xf numFmtId="0" fontId="14" fillId="0" borderId="15" xfId="0" applyFont="1" applyBorder="1"/>
    <xf numFmtId="0" fontId="10" fillId="12" borderId="0" xfId="0" applyFont="1" applyFill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168" fontId="11" fillId="9" borderId="2" xfId="1" applyNumberFormat="1" applyFont="1" applyFill="1" applyBorder="1" applyAlignment="1">
      <alignment horizontal="center" vertical="top"/>
    </xf>
    <xf numFmtId="168" fontId="14" fillId="0" borderId="3" xfId="1" applyNumberFormat="1" applyFont="1" applyBorder="1"/>
    <xf numFmtId="168" fontId="14" fillId="0" borderId="4" xfId="1" applyNumberFormat="1" applyFont="1" applyBorder="1"/>
    <xf numFmtId="165" fontId="11" fillId="0" borderId="2" xfId="0" applyNumberFormat="1" applyFont="1" applyBorder="1" applyAlignment="1">
      <alignment horizontal="center" vertical="top"/>
    </xf>
    <xf numFmtId="0" fontId="14" fillId="0" borderId="3" xfId="0" applyFont="1" applyBorder="1"/>
    <xf numFmtId="0" fontId="3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165" fontId="11" fillId="0" borderId="3" xfId="0" applyNumberFormat="1" applyFont="1" applyBorder="1" applyAlignment="1">
      <alignment horizontal="center" vertical="top" wrapText="1"/>
    </xf>
    <xf numFmtId="0" fontId="13" fillId="0" borderId="0" xfId="0" applyFont="1" applyFill="1" applyBorder="1" applyAlignment="1">
      <alignment vertical="top"/>
    </xf>
    <xf numFmtId="164" fontId="29" fillId="0" borderId="0" xfId="0" applyNumberFormat="1" applyFont="1" applyFill="1" applyBorder="1" applyAlignment="1">
      <alignment vertical="top"/>
    </xf>
    <xf numFmtId="167" fontId="29" fillId="0" borderId="0" xfId="2" applyNumberFormat="1" applyFont="1" applyFill="1" applyBorder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47" Type="http://schemas.openxmlformats.org/officeDocument/2006/relationships/customXml" Target="../ink/ink4.xml"/><Relationship Id="rId33" Type="http://schemas.openxmlformats.org/officeDocument/2006/relationships/customXml" Target="../ink/ink2.xml"/><Relationship Id="rId46" Type="http://schemas.openxmlformats.org/officeDocument/2006/relationships/image" Target="../media/image23.png"/><Relationship Id="rId1" Type="http://schemas.openxmlformats.org/officeDocument/2006/relationships/customXml" Target="../ink/ink1.xml"/><Relationship Id="rId32" Type="http://schemas.openxmlformats.org/officeDocument/2006/relationships/image" Target="../media/image16.png"/><Relationship Id="rId45" Type="http://schemas.openxmlformats.org/officeDocument/2006/relationships/customXml" Target="../ink/ink3.xml"/><Relationship Id="rId44" Type="http://schemas.openxmlformats.org/officeDocument/2006/relationships/image" Target="../media/image22.png"/><Relationship Id="rId48" Type="http://schemas.openxmlformats.org/officeDocument/2006/relationships/image" Target="../media/image2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6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customXml" Target="../ink/ink13.xml"/><Relationship Id="rId18" Type="http://schemas.openxmlformats.org/officeDocument/2006/relationships/image" Target="../media/image34.png"/><Relationship Id="rId3" Type="http://schemas.openxmlformats.org/officeDocument/2006/relationships/customXml" Target="../ink/ink8.xml"/><Relationship Id="rId7" Type="http://schemas.openxmlformats.org/officeDocument/2006/relationships/customXml" Target="../ink/ink10.xml"/><Relationship Id="rId12" Type="http://schemas.openxmlformats.org/officeDocument/2006/relationships/image" Target="../media/image31.png"/><Relationship Id="rId17" Type="http://schemas.openxmlformats.org/officeDocument/2006/relationships/customXml" Target="../ink/ink15.xml"/><Relationship Id="rId2" Type="http://schemas.openxmlformats.org/officeDocument/2006/relationships/image" Target="../media/image26.png"/><Relationship Id="rId16" Type="http://schemas.openxmlformats.org/officeDocument/2006/relationships/image" Target="../media/image33.png"/><Relationship Id="rId20" Type="http://schemas.openxmlformats.org/officeDocument/2006/relationships/image" Target="../media/image35.png"/><Relationship Id="rId1" Type="http://schemas.openxmlformats.org/officeDocument/2006/relationships/customXml" Target="../ink/ink7.xml"/><Relationship Id="rId6" Type="http://schemas.openxmlformats.org/officeDocument/2006/relationships/image" Target="../media/image28.png"/><Relationship Id="rId11" Type="http://schemas.openxmlformats.org/officeDocument/2006/relationships/customXml" Target="../ink/ink12.xml"/><Relationship Id="rId5" Type="http://schemas.openxmlformats.org/officeDocument/2006/relationships/customXml" Target="../ink/ink9.xml"/><Relationship Id="rId15" Type="http://schemas.openxmlformats.org/officeDocument/2006/relationships/customXml" Target="../ink/ink14.xml"/><Relationship Id="rId10" Type="http://schemas.openxmlformats.org/officeDocument/2006/relationships/image" Target="../media/image30.png"/><Relationship Id="rId19" Type="http://schemas.openxmlformats.org/officeDocument/2006/relationships/customXml" Target="../ink/ink16.xml"/><Relationship Id="rId4" Type="http://schemas.openxmlformats.org/officeDocument/2006/relationships/image" Target="../media/image27.png"/><Relationship Id="rId9" Type="http://schemas.openxmlformats.org/officeDocument/2006/relationships/customXml" Target="../ink/ink11.xml"/><Relationship Id="rId14" Type="http://schemas.openxmlformats.org/officeDocument/2006/relationships/image" Target="../media/image3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19.xml"/><Relationship Id="rId7" Type="http://schemas.openxmlformats.org/officeDocument/2006/relationships/customXml" Target="../ink/ink18.xml"/><Relationship Id="rId16" Type="http://schemas.openxmlformats.org/officeDocument/2006/relationships/image" Target="../media/image42.png"/><Relationship Id="rId1" Type="http://schemas.openxmlformats.org/officeDocument/2006/relationships/customXml" Target="../ink/ink17.xml"/><Relationship Id="rId6" Type="http://schemas.openxmlformats.org/officeDocument/2006/relationships/image" Target="../media/image38.png"/><Relationship Id="rId10" Type="http://schemas.openxmlformats.org/officeDocument/2006/relationships/customXml" Target="../ink/ink20.xml"/><Relationship Id="rId9" Type="http://schemas.openxmlformats.org/officeDocument/2006/relationships/image" Target="../media/image39.png"/></Relationships>
</file>

<file path=xl/drawings/_rels/drawing5.xml.rels><?xml version="1.0" encoding="UTF-8" standalone="yes"?>
<Relationships xmlns="http://schemas.openxmlformats.org/package/2006/relationships"><Relationship Id="rId42" Type="http://schemas.openxmlformats.org/officeDocument/2006/relationships/image" Target="../media/image230.png"/><Relationship Id="rId47" Type="http://schemas.openxmlformats.org/officeDocument/2006/relationships/customXml" Target="../ink/ink24.xml"/><Relationship Id="rId46" Type="http://schemas.openxmlformats.org/officeDocument/2006/relationships/image" Target="../media/image250.png"/><Relationship Id="rId103" Type="http://schemas.openxmlformats.org/officeDocument/2006/relationships/customXml" Target="../ink/ink28.xml"/><Relationship Id="rId124" Type="http://schemas.openxmlformats.org/officeDocument/2006/relationships/image" Target="../media/image64.png"/><Relationship Id="rId1" Type="http://schemas.openxmlformats.org/officeDocument/2006/relationships/customXml" Target="../ink/ink21.xml"/><Relationship Id="rId45" Type="http://schemas.openxmlformats.org/officeDocument/2006/relationships/customXml" Target="../ink/ink23.xml"/><Relationship Id="rId87" Type="http://schemas.openxmlformats.org/officeDocument/2006/relationships/customXml" Target="../ink/ink26.xml"/><Relationship Id="rId102" Type="http://schemas.openxmlformats.org/officeDocument/2006/relationships/image" Target="../media/image53.png"/><Relationship Id="rId49" Type="http://schemas.openxmlformats.org/officeDocument/2006/relationships/customXml" Target="../ink/ink25.xml"/><Relationship Id="rId44" Type="http://schemas.openxmlformats.org/officeDocument/2006/relationships/image" Target="../media/image240.png"/><Relationship Id="rId86" Type="http://schemas.openxmlformats.org/officeDocument/2006/relationships/image" Target="../media/image450.png"/><Relationship Id="rId101" Type="http://schemas.openxmlformats.org/officeDocument/2006/relationships/customXml" Target="../ink/ink27.xml"/><Relationship Id="rId43" Type="http://schemas.openxmlformats.org/officeDocument/2006/relationships/customXml" Target="../ink/ink22.xml"/><Relationship Id="rId48" Type="http://schemas.openxmlformats.org/officeDocument/2006/relationships/image" Target="../media/image260.png"/><Relationship Id="rId100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507609</xdr:colOff>
      <xdr:row>12</xdr:row>
      <xdr:rowOff>122070</xdr:rowOff>
    </xdr:from>
    <xdr:to>
      <xdr:col>9</xdr:col>
      <xdr:colOff>513009</xdr:colOff>
      <xdr:row>12</xdr:row>
      <xdr:rowOff>122790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9BD37A5-8484-4024-B3E9-832D630A1433}"/>
                </a:ext>
              </a:extLst>
            </xdr14:cNvPr>
            <xdr14:cNvContentPartPr/>
          </xdr14:nvContentPartPr>
          <xdr14:nvPr macro=""/>
          <xdr14:xfrm>
            <a:off x="10662317" y="2281070"/>
            <a:ext cx="5400" cy="7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C2B4988-A4BD-7C44-E424-5A064978A12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0657997" y="2276750"/>
              <a:ext cx="14040" cy="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145779</xdr:colOff>
      <xdr:row>16</xdr:row>
      <xdr:rowOff>74523</xdr:rowOff>
    </xdr:from>
    <xdr:to>
      <xdr:col>12</xdr:col>
      <xdr:colOff>146139</xdr:colOff>
      <xdr:row>16</xdr:row>
      <xdr:rowOff>74883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6E95301-D296-4FA1-9135-ABC8BAD68818}"/>
                </a:ext>
              </a:extLst>
            </xdr14:cNvPr>
            <xdr14:cNvContentPartPr/>
          </xdr14:nvContentPartPr>
          <xdr14:nvPr macro=""/>
          <xdr14:xfrm>
            <a:off x="12110237" y="2953190"/>
            <a:ext cx="36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BF8CC811-BC8E-0CDA-160C-864A7174018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2105917" y="294887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555489</xdr:colOff>
      <xdr:row>15</xdr:row>
      <xdr:rowOff>133120</xdr:rowOff>
    </xdr:from>
    <xdr:to>
      <xdr:col>9</xdr:col>
      <xdr:colOff>560529</xdr:colOff>
      <xdr:row>15</xdr:row>
      <xdr:rowOff>156160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CDDEA02-F4AE-44A1-A6DB-16A1E4C1A2F5}"/>
                </a:ext>
              </a:extLst>
            </xdr14:cNvPr>
            <xdr14:cNvContentPartPr/>
          </xdr14:nvContentPartPr>
          <xdr14:nvPr macro=""/>
          <xdr14:xfrm>
            <a:off x="10710197" y="2831870"/>
            <a:ext cx="5040" cy="230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7D24ABAC-0E2E-52A2-964A-2DAE1B1FD8C0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705877" y="2827550"/>
              <a:ext cx="1368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24209</xdr:colOff>
      <xdr:row>12</xdr:row>
      <xdr:rowOff>98503</xdr:rowOff>
    </xdr:from>
    <xdr:to>
      <xdr:col>13</xdr:col>
      <xdr:colOff>29609</xdr:colOff>
      <xdr:row>12</xdr:row>
      <xdr:rowOff>113623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40C753C-E84F-4521-BC7C-B3B4AA40341F}"/>
                </a:ext>
              </a:extLst>
            </xdr14:cNvPr>
            <xdr14:cNvContentPartPr/>
          </xdr14:nvContentPartPr>
          <xdr14:nvPr macro=""/>
          <xdr14:xfrm>
            <a:off x="12591917" y="2257503"/>
            <a:ext cx="5400" cy="151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28972CEB-E6B0-779F-7C94-2B9CB5C4610E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587597" y="2253183"/>
              <a:ext cx="1404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574560</xdr:colOff>
      <xdr:row>11</xdr:row>
      <xdr:rowOff>73174</xdr:rowOff>
    </xdr:from>
    <xdr:to>
      <xdr:col>0</xdr:col>
      <xdr:colOff>627480</xdr:colOff>
      <xdr:row>11</xdr:row>
      <xdr:rowOff>121774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B5F079-EF07-D943-0791-1F839D578888}"/>
                </a:ext>
              </a:extLst>
            </xdr14:cNvPr>
            <xdr14:cNvContentPartPr/>
          </xdr14:nvContentPartPr>
          <xdr14:nvPr macro=""/>
          <xdr14:xfrm>
            <a:off x="574560" y="2127853"/>
            <a:ext cx="52920" cy="48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B5F079-EF07-D943-0791-1F839D5788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0240" y="2123533"/>
              <a:ext cx="6156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594309</xdr:colOff>
      <xdr:row>18</xdr:row>
      <xdr:rowOff>561</xdr:rowOff>
    </xdr:from>
    <xdr:to>
      <xdr:col>15</xdr:col>
      <xdr:colOff>600069</xdr:colOff>
      <xdr:row>18</xdr:row>
      <xdr:rowOff>3801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81E6B7C-86CD-DD53-7673-A8B1B8B87040}"/>
                </a:ext>
              </a:extLst>
            </xdr14:cNvPr>
            <xdr14:cNvContentPartPr/>
          </xdr14:nvContentPartPr>
          <xdr14:nvPr macro=""/>
          <xdr14:xfrm>
            <a:off x="13879416" y="3356990"/>
            <a:ext cx="5760" cy="3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81E6B7C-86CD-DD53-7673-A8B1B8B8704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875096" y="3352670"/>
              <a:ext cx="14400" cy="1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555720</xdr:colOff>
      <xdr:row>59</xdr:row>
      <xdr:rowOff>97822</xdr:rowOff>
    </xdr:from>
    <xdr:to>
      <xdr:col>15</xdr:col>
      <xdr:colOff>429975</xdr:colOff>
      <xdr:row>60</xdr:row>
      <xdr:rowOff>161338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4313314-E4EF-2C22-ABB4-0C46C1EB7835}"/>
                </a:ext>
              </a:extLst>
            </xdr14:cNvPr>
            <xdr14:cNvContentPartPr/>
          </xdr14:nvContentPartPr>
          <xdr14:nvPr macro=""/>
          <xdr14:xfrm>
            <a:off x="14262649" y="11233001"/>
            <a:ext cx="482040" cy="249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4313314-E4EF-2C22-ABB4-0C46C1EB78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258329" y="11228681"/>
              <a:ext cx="49068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309480</xdr:colOff>
      <xdr:row>59</xdr:row>
      <xdr:rowOff>152902</xdr:rowOff>
    </xdr:from>
    <xdr:to>
      <xdr:col>14</xdr:col>
      <xdr:colOff>353760</xdr:colOff>
      <xdr:row>60</xdr:row>
      <xdr:rowOff>12298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4489A1B-6063-52C0-C3A4-9CB342F6D60C}"/>
                </a:ext>
              </a:extLst>
            </xdr14:cNvPr>
            <xdr14:cNvContentPartPr/>
          </xdr14:nvContentPartPr>
          <xdr14:nvPr macro=""/>
          <xdr14:xfrm>
            <a:off x="14016409" y="11288081"/>
            <a:ext cx="44280" cy="45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4489A1B-6063-52C0-C3A4-9CB342F6D6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012089" y="11283761"/>
              <a:ext cx="5292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250186</xdr:colOff>
      <xdr:row>56</xdr:row>
      <xdr:rowOff>174755</xdr:rowOff>
    </xdr:from>
    <xdr:to>
      <xdr:col>15</xdr:col>
      <xdr:colOff>188415</xdr:colOff>
      <xdr:row>58</xdr:row>
      <xdr:rowOff>151307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853EBC2-44AF-1AAB-40B2-E6CF9D7EE3B0}"/>
                </a:ext>
              </a:extLst>
            </xdr14:cNvPr>
            <xdr14:cNvContentPartPr/>
          </xdr14:nvContentPartPr>
          <xdr14:nvPr macro=""/>
          <xdr14:xfrm>
            <a:off x="13349329" y="10752041"/>
            <a:ext cx="1153800" cy="3484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D853EBC2-44AF-1AAB-40B2-E6CF9D7EE3B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345009" y="10747721"/>
              <a:ext cx="1162440" cy="3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510975</xdr:colOff>
      <xdr:row>59</xdr:row>
      <xdr:rowOff>110422</xdr:rowOff>
    </xdr:from>
    <xdr:to>
      <xdr:col>17</xdr:col>
      <xdr:colOff>119443</xdr:colOff>
      <xdr:row>60</xdr:row>
      <xdr:rowOff>128578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0CD72D2-9255-82AB-9E80-882304A63AC3}"/>
                </a:ext>
              </a:extLst>
            </xdr14:cNvPr>
            <xdr14:cNvContentPartPr/>
          </xdr14:nvContentPartPr>
          <xdr14:nvPr macro=""/>
          <xdr14:xfrm>
            <a:off x="14825689" y="11245601"/>
            <a:ext cx="824040" cy="2041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0CD72D2-9255-82AB-9E80-882304A63AC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821371" y="11241281"/>
              <a:ext cx="832676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35055</xdr:colOff>
      <xdr:row>61</xdr:row>
      <xdr:rowOff>3814</xdr:rowOff>
    </xdr:from>
    <xdr:to>
      <xdr:col>15</xdr:col>
      <xdr:colOff>341055</xdr:colOff>
      <xdr:row>61</xdr:row>
      <xdr:rowOff>171574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00D57B1-5578-36A5-E291-E4223C57BD2F}"/>
                </a:ext>
              </a:extLst>
            </xdr14:cNvPr>
            <xdr14:cNvContentPartPr/>
          </xdr14:nvContentPartPr>
          <xdr14:nvPr macro=""/>
          <xdr14:xfrm>
            <a:off x="14349769" y="11510921"/>
            <a:ext cx="306000" cy="1677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00D57B1-5578-36A5-E291-E4223C57BD2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345449" y="11506610"/>
              <a:ext cx="314640" cy="176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536386</xdr:colOff>
      <xdr:row>59</xdr:row>
      <xdr:rowOff>121942</xdr:rowOff>
    </xdr:from>
    <xdr:to>
      <xdr:col>13</xdr:col>
      <xdr:colOff>548626</xdr:colOff>
      <xdr:row>59</xdr:row>
      <xdr:rowOff>128422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B014CCD-2765-C241-7DE1-2C3B00E5FBEB}"/>
                </a:ext>
              </a:extLst>
            </xdr14:cNvPr>
            <xdr14:cNvContentPartPr/>
          </xdr14:nvContentPartPr>
          <xdr14:nvPr macro=""/>
          <xdr14:xfrm>
            <a:off x="13635529" y="11257121"/>
            <a:ext cx="12240" cy="6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B014CCD-2765-C241-7DE1-2C3B00E5FBE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631209" y="11252801"/>
              <a:ext cx="2088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30480</xdr:colOff>
      <xdr:row>58</xdr:row>
      <xdr:rowOff>79307</xdr:rowOff>
    </xdr:from>
    <xdr:to>
      <xdr:col>14</xdr:col>
      <xdr:colOff>264120</xdr:colOff>
      <xdr:row>58</xdr:row>
      <xdr:rowOff>138347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F674E4B9-0E1A-9582-ABE6-CDFE23978C49}"/>
                </a:ext>
              </a:extLst>
            </xdr14:cNvPr>
            <xdr14:cNvContentPartPr/>
          </xdr14:nvContentPartPr>
          <xdr14:nvPr macro=""/>
          <xdr14:xfrm>
            <a:off x="13737409" y="11028521"/>
            <a:ext cx="233640" cy="590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F674E4B9-0E1A-9582-ABE6-CDFE23978C4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733089" y="11024201"/>
              <a:ext cx="2422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97335</xdr:colOff>
      <xdr:row>62</xdr:row>
      <xdr:rowOff>35650</xdr:rowOff>
    </xdr:from>
    <xdr:to>
      <xdr:col>15</xdr:col>
      <xdr:colOff>262575</xdr:colOff>
      <xdr:row>62</xdr:row>
      <xdr:rowOff>64810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BA18947A-D37E-5BDB-53AE-08A9FABAE96A}"/>
                </a:ext>
              </a:extLst>
            </xdr14:cNvPr>
            <xdr14:cNvContentPartPr/>
          </xdr14:nvContentPartPr>
          <xdr14:nvPr macro=""/>
          <xdr14:xfrm>
            <a:off x="14412049" y="11728721"/>
            <a:ext cx="165240" cy="291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BA18947A-D37E-5BDB-53AE-08A9FABAE96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407729" y="11724401"/>
              <a:ext cx="17388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523575</xdr:colOff>
      <xdr:row>66</xdr:row>
      <xdr:rowOff>51752</xdr:rowOff>
    </xdr:from>
    <xdr:to>
      <xdr:col>16</xdr:col>
      <xdr:colOff>200189</xdr:colOff>
      <xdr:row>66</xdr:row>
      <xdr:rowOff>161192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5E61AD9-729F-E366-F489-68FDE0A1FCC7}"/>
                </a:ext>
              </a:extLst>
            </xdr14:cNvPr>
            <xdr14:cNvContentPartPr/>
          </xdr14:nvContentPartPr>
          <xdr14:nvPr macro=""/>
          <xdr14:xfrm>
            <a:off x="14838289" y="12488681"/>
            <a:ext cx="284400" cy="1094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5E61AD9-729F-E366-F489-68FDE0A1FCC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4833969" y="12484375"/>
              <a:ext cx="293040" cy="1180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476986</xdr:colOff>
      <xdr:row>64</xdr:row>
      <xdr:rowOff>4281</xdr:rowOff>
    </xdr:from>
    <xdr:to>
      <xdr:col>17</xdr:col>
      <xdr:colOff>288643</xdr:colOff>
      <xdr:row>65</xdr:row>
      <xdr:rowOff>157077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7426957B-87E7-D408-A225-B42B145EB471}"/>
                </a:ext>
              </a:extLst>
            </xdr14:cNvPr>
            <xdr14:cNvContentPartPr/>
          </xdr14:nvContentPartPr>
          <xdr14:nvPr macro=""/>
          <xdr14:xfrm>
            <a:off x="13576129" y="12069281"/>
            <a:ext cx="2242800" cy="3387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7426957B-87E7-D408-A225-B42B145EB47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3571809" y="12064961"/>
              <a:ext cx="2251440" cy="34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440573</xdr:colOff>
      <xdr:row>18</xdr:row>
      <xdr:rowOff>71626</xdr:rowOff>
    </xdr:from>
    <xdr:to>
      <xdr:col>5</xdr:col>
      <xdr:colOff>440933</xdr:colOff>
      <xdr:row>18</xdr:row>
      <xdr:rowOff>71986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E5A1C37-60FA-361A-9FCB-F77E3208462F}"/>
                </a:ext>
              </a:extLst>
            </xdr14:cNvPr>
            <xdr14:cNvContentPartPr/>
          </xdr14:nvContentPartPr>
          <xdr14:nvPr macro=""/>
          <xdr14:xfrm>
            <a:off x="6164040" y="3432893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E5A1C37-60FA-361A-9FCB-F77E3208462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159720" y="3428573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555107</xdr:colOff>
      <xdr:row>23</xdr:row>
      <xdr:rowOff>139293</xdr:rowOff>
    </xdr:from>
    <xdr:to>
      <xdr:col>6</xdr:col>
      <xdr:colOff>555467</xdr:colOff>
      <xdr:row>23</xdr:row>
      <xdr:rowOff>139653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447595B-EB7A-0C41-8E59-C407388AA504}"/>
                </a:ext>
              </a:extLst>
            </xdr14:cNvPr>
            <xdr14:cNvContentPartPr/>
          </xdr14:nvContentPartPr>
          <xdr14:nvPr macro=""/>
          <xdr14:xfrm>
            <a:off x="7125240" y="4431893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447595B-EB7A-0C41-8E59-C407388AA5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120920" y="4427573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328187</xdr:colOff>
      <xdr:row>16</xdr:row>
      <xdr:rowOff>145360</xdr:rowOff>
    </xdr:from>
    <xdr:to>
      <xdr:col>7</xdr:col>
      <xdr:colOff>328907</xdr:colOff>
      <xdr:row>16</xdr:row>
      <xdr:rowOff>148960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84D3BBB-4D53-4853-9B43-130CBCE4974C}"/>
                </a:ext>
              </a:extLst>
            </xdr14:cNvPr>
            <xdr14:cNvContentPartPr/>
          </xdr14:nvContentPartPr>
          <xdr14:nvPr macro=""/>
          <xdr14:xfrm>
            <a:off x="7507920" y="3134093"/>
            <a:ext cx="720" cy="3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84D3BBB-4D53-4853-9B43-130CBCE4974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503600" y="3129773"/>
              <a:ext cx="9360" cy="1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1302587</xdr:colOff>
      <xdr:row>21</xdr:row>
      <xdr:rowOff>23666</xdr:rowOff>
    </xdr:from>
    <xdr:to>
      <xdr:col>8</xdr:col>
      <xdr:colOff>1306907</xdr:colOff>
      <xdr:row>21</xdr:row>
      <xdr:rowOff>29066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6A41D7B-1EE5-C04D-8D82-39683157C683}"/>
                </a:ext>
              </a:extLst>
            </xdr14:cNvPr>
            <xdr14:cNvContentPartPr/>
          </xdr14:nvContentPartPr>
          <xdr14:nvPr macro=""/>
          <xdr14:xfrm>
            <a:off x="9091920" y="3943733"/>
            <a:ext cx="4320" cy="5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6A41D7B-1EE5-C04D-8D82-39683157C68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087600" y="3939413"/>
              <a:ext cx="12960" cy="1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457920</xdr:colOff>
      <xdr:row>8</xdr:row>
      <xdr:rowOff>12317</xdr:rowOff>
    </xdr:from>
    <xdr:to>
      <xdr:col>0</xdr:col>
      <xdr:colOff>619560</xdr:colOff>
      <xdr:row>8</xdr:row>
      <xdr:rowOff>121037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8CC922B1-65F5-A6C7-93C8-A922E5567391}"/>
                </a:ext>
              </a:extLst>
            </xdr14:cNvPr>
            <xdr14:cNvContentPartPr/>
          </xdr14:nvContentPartPr>
          <xdr14:nvPr macro=""/>
          <xdr14:xfrm>
            <a:off x="457920" y="1497240"/>
            <a:ext cx="161640" cy="1087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8CC922B1-65F5-A6C7-93C8-A922E5567391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53600" y="1492920"/>
              <a:ext cx="17028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404640</xdr:colOff>
      <xdr:row>4</xdr:row>
      <xdr:rowOff>35138</xdr:rowOff>
    </xdr:from>
    <xdr:to>
      <xdr:col>0</xdr:col>
      <xdr:colOff>568440</xdr:colOff>
      <xdr:row>4</xdr:row>
      <xdr:rowOff>113978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B5CB5588-E302-B766-3D76-DC8569E6268B}"/>
                </a:ext>
              </a:extLst>
            </xdr14:cNvPr>
            <xdr14:cNvContentPartPr/>
          </xdr14:nvContentPartPr>
          <xdr14:nvPr macro=""/>
          <xdr14:xfrm>
            <a:off x="404640" y="777600"/>
            <a:ext cx="163800" cy="788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B5CB5588-E302-B766-3D76-DC8569E6268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400320" y="773280"/>
              <a:ext cx="17244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430920</xdr:colOff>
      <xdr:row>12</xdr:row>
      <xdr:rowOff>38095</xdr:rowOff>
    </xdr:from>
    <xdr:to>
      <xdr:col>0</xdr:col>
      <xdr:colOff>616680</xdr:colOff>
      <xdr:row>12</xdr:row>
      <xdr:rowOff>160855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7E2DCF01-A706-8F46-A339-CA15ABB94BE9}"/>
                </a:ext>
              </a:extLst>
            </xdr14:cNvPr>
            <xdr14:cNvContentPartPr/>
          </xdr14:nvContentPartPr>
          <xdr14:nvPr macro=""/>
          <xdr14:xfrm>
            <a:off x="430920" y="2265480"/>
            <a:ext cx="185760" cy="1227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7E2DCF01-A706-8F46-A339-CA15ABB94BE9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26600" y="2261160"/>
              <a:ext cx="19440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450720</xdr:colOff>
      <xdr:row>16</xdr:row>
      <xdr:rowOff>100954</xdr:rowOff>
    </xdr:from>
    <xdr:to>
      <xdr:col>0</xdr:col>
      <xdr:colOff>596880</xdr:colOff>
      <xdr:row>17</xdr:row>
      <xdr:rowOff>8938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31E1601E-DA1A-76E4-8823-9B06DEEAB088}"/>
                </a:ext>
              </a:extLst>
            </xdr14:cNvPr>
            <xdr14:cNvContentPartPr/>
          </xdr14:nvContentPartPr>
          <xdr14:nvPr macro=""/>
          <xdr14:xfrm>
            <a:off x="450720" y="3070800"/>
            <a:ext cx="146160" cy="936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31E1601E-DA1A-76E4-8823-9B06DEEAB088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46400" y="3066480"/>
              <a:ext cx="15480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577940</xdr:colOff>
      <xdr:row>6</xdr:row>
      <xdr:rowOff>52850</xdr:rowOff>
    </xdr:from>
    <xdr:to>
      <xdr:col>37</xdr:col>
      <xdr:colOff>580460</xdr:colOff>
      <xdr:row>6</xdr:row>
      <xdr:rowOff>59690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605B3B6D-C340-0AC7-D4B5-7ECE19931183}"/>
                </a:ext>
              </a:extLst>
            </xdr14:cNvPr>
            <xdr14:cNvContentPartPr/>
          </xdr14:nvContentPartPr>
          <xdr14:nvPr macro=""/>
          <xdr14:xfrm>
            <a:off x="27785248" y="1166542"/>
            <a:ext cx="2520" cy="684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605B3B6D-C340-0AC7-D4B5-7ECE1993118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27780928" y="1162222"/>
              <a:ext cx="1116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470660</xdr:colOff>
      <xdr:row>6</xdr:row>
      <xdr:rowOff>178850</xdr:rowOff>
    </xdr:from>
    <xdr:to>
      <xdr:col>37</xdr:col>
      <xdr:colOff>481100</xdr:colOff>
      <xdr:row>6</xdr:row>
      <xdr:rowOff>181370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5B768479-A2E3-5174-8AE3-90854E784D98}"/>
                </a:ext>
              </a:extLst>
            </xdr14:cNvPr>
            <xdr14:cNvContentPartPr/>
          </xdr14:nvContentPartPr>
          <xdr14:nvPr macro=""/>
          <xdr14:xfrm>
            <a:off x="27677968" y="1292542"/>
            <a:ext cx="10440" cy="252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5B768479-A2E3-5174-8AE3-90854E784D98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27673648" y="1288222"/>
              <a:ext cx="19080" cy="1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568220</xdr:colOff>
      <xdr:row>14</xdr:row>
      <xdr:rowOff>85327</xdr:rowOff>
    </xdr:from>
    <xdr:to>
      <xdr:col>37</xdr:col>
      <xdr:colOff>568580</xdr:colOff>
      <xdr:row>14</xdr:row>
      <xdr:rowOff>85687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97AF43E5-B28D-4033-7D94-661F08C4A7E1}"/>
                </a:ext>
              </a:extLst>
            </xdr14:cNvPr>
            <xdr14:cNvContentPartPr/>
          </xdr14:nvContentPartPr>
          <xdr14:nvPr macro=""/>
          <xdr14:xfrm>
            <a:off x="27775528" y="2683942"/>
            <a:ext cx="360" cy="36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97AF43E5-B28D-4033-7D94-661F08C4A7E1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27771208" y="2679622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101897</xdr:colOff>
      <xdr:row>2</xdr:row>
      <xdr:rowOff>62784</xdr:rowOff>
    </xdr:from>
    <xdr:to>
      <xdr:col>8</xdr:col>
      <xdr:colOff>106217</xdr:colOff>
      <xdr:row>2</xdr:row>
      <xdr:rowOff>67464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4C560920-01A0-A597-6080-3B5F568130F8}"/>
                </a:ext>
              </a:extLst>
            </xdr14:cNvPr>
            <xdr14:cNvContentPartPr/>
          </xdr14:nvContentPartPr>
          <xdr14:nvPr macro=""/>
          <xdr14:xfrm>
            <a:off x="7961243" y="434015"/>
            <a:ext cx="4320" cy="468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4C560920-01A0-A597-6080-3B5F568130F8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7956923" y="429695"/>
              <a:ext cx="12960" cy="13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kajj%20Goel\Desktop\Pepsico%20new\PepsiCo%20-%20Solution.xlsx" TargetMode="External"/><Relationship Id="rId1" Type="http://schemas.openxmlformats.org/officeDocument/2006/relationships/externalLinkPath" Target="file:///C:\Users\Pankajj%20Goel\Desktop\Pepsico%20new\PepsiCo%20-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"/>
      <sheetName val="Beta"/>
      <sheetName val="WACC"/>
      <sheetName val="Debt Schedule"/>
      <sheetName val="Fixed Assets Schedule"/>
      <sheetName val="PepsiCo-BS"/>
      <sheetName val="PepsiCo-CFS"/>
      <sheetName val="PepsiCo-IS"/>
      <sheetName val="Revenue Segment"/>
      <sheetName val="Sheet1"/>
    </sheetNames>
    <sheetDataSet>
      <sheetData sheetId="0"/>
      <sheetData sheetId="1">
        <row r="6">
          <cell r="D6" t="str">
            <v>Coca Cola</v>
          </cell>
        </row>
        <row r="7">
          <cell r="D7" t="str">
            <v>Keurig Dr. Pepper</v>
          </cell>
        </row>
        <row r="8">
          <cell r="D8" t="str">
            <v>Monster Beverages</v>
          </cell>
        </row>
        <row r="12">
          <cell r="D12" t="str">
            <v>Mondelez</v>
          </cell>
        </row>
        <row r="13">
          <cell r="D13" t="str">
            <v>Hershey Co.</v>
          </cell>
        </row>
        <row r="15">
          <cell r="D15" t="str">
            <v>Constellation Brands</v>
          </cell>
        </row>
      </sheetData>
      <sheetData sheetId="2"/>
      <sheetData sheetId="3"/>
      <sheetData sheetId="4"/>
      <sheetData sheetId="5">
        <row r="23">
          <cell r="E23">
            <v>3414</v>
          </cell>
        </row>
      </sheetData>
      <sheetData sheetId="6"/>
      <sheetData sheetId="7"/>
      <sheetData sheetId="8"/>
      <sheetData sheetId="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6T07:05:31.819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15 0 6467,'0'0'5234,"-15"0"-5058,15 2-2241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6T07:05:31.820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 0 10533,'0'0'0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6T07:05:31.821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13 3 13526,'0'0'9220,"-7"-3"-9076,5 3-128,0 3-16,2 6-96,0 1-784,-2 3-1521,2 0-2257,0 2-9909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6T07:05:31.822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 0 6563,'0'0'416,"14"41"-2497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5:25:09.6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 84 804 0 0,'0'0'9688'0'0,"-4"1"-8414"0"0,-13 4 6456 0 0,17-5-7705 0 0,0 0 0 0 0,0 0 0 0 0,0 0 0 0 0,1 0 0 0 0,-1-1 0 0 0,0 1 0 0 0,0 0 0 0 0,0 0 0 0 0,0 0 0 0 0,1-1 0 0 0,-1 1-1 0 0,0 0 1 0 0,0 0 0 0 0,0 0 0 0 0,0-1 0 0 0,0 1 0 0 0,0 0 0 0 0,0 0 0 0 0,0-1 0 0 0,1 1 0 0 0,-1 0 0 0 0,0 0 0 0 0,0-1-1 0 0,0 1 1 0 0,0 0 0 0 0,0 0 0 0 0,0-1 0 0 0,-1 1 0 0 0,1 0 0 0 0,0-1 0 0 0,0 1 7 0 0,0-1 1 0 0,0 0 0 0 0,0 1-1 0 0,0-1 1 0 0,0 1-1 0 0,0-1 1 0 0,0 0 0 0 0,0 1-1 0 0,0-1 1 0 0,1 1-1 0 0,-1-1 1 0 0,0 0 0 0 0,0 1-1 0 0,0-1 1 0 0,1 1-1 0 0,-1-1 1 0 0,0 1-1 0 0,1-1 1 0 0,-1 1 0 0 0,1-1-1 0 0,48-45 2158 0 0,-47 44-1994 0 0,9-9 96 0 0,-8 9-246 0 0,0-1 145 0 0,1 1-162 0 0,7-2 224 0 0,-11 4-246 0 0,0 1 0 0 0,0-1-1 0 0,1 0 1 0 0,-1 1 0 0 0,0-1-1 0 0,0 0 1 0 0,0 1 0 0 0,1-1-1 0 0,-1 0 1 0 0,0 1 0 0 0,0-1-1 0 0,0 1 1 0 0,0-1 0 0 0,0 0-1 0 0,0 1 1 0 0,0-1 0 0 0,0 1-1 0 0,0-1 1 0 0,0 1 0 0 0,0-1-1 0 0,0 0 1 0 0,0 1 0 0 0,0-1-1 0 0,0 1 1 0 0,-1-1 0 0 0,1 0-1 0 0,0 1 1 0 0,0-1 0 0 0,0 0-1 0 0,-1 1 1 0 0,1-1 0 0 0,0 0-1 0 0,0 1 1 0 0,-1-1 0 0 0,-36 95 397 0 0,36-93-369 0 0,0 1 14 0 0,-4 15 287 0 0,5-18-326 0 0,1 0 0 0 0,-1 1 1 0 0,0-1-1 0 0,0 0 0 0 0,1 0 0 0 0,-1 1 1 0 0,1-1-1 0 0,-1 0 0 0 0,0 0 1 0 0,1 1-1 0 0,-1-1 0 0 0,0 0 0 0 0,1 0 1 0 0,-1 0-1 0 0,1 0 0 0 0,-1 0 0 0 0,0 0 1 0 0,1 0-1 0 0,-1 0 0 0 0,1 0 1 0 0,-1 0-1 0 0,1 0 0 0 0,-1 0 0 0 0,0 0 1 0 0,1 0-1 0 0,-1 0 0 0 0,1 0 1 0 0,-1 0-1 0 0,0 0 0 0 0,1-1 0 0 0,-1 1 1 0 0,1 0-1 0 0,-1 0 0 0 0,0-1 1 0 0,1 1-1 0 0,-1 0 0 0 0,0-1 0 0 0,4 0 20 0 0,0-1-219 0 0,13-7-78 0 0,-12 7-119 0 0,-2 0-120 0 0,10-6 108 0 0,29-14-14974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5:32:49.742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16 0 408 0 0,'0'0'17189'0'0,"-3"2"-16475"0"0,-1 0-763 0 0,-1 1 217 0 0,2-2-3995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03.252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20 152 1168 0 0,'0'0'5635'0'0,"-1"-2"-3821"0"0,-11-16 8348 0 0,9 13-10151 0 0,2 2 2663 0 0,0 1-1149 0 0,1 1-1342 0 0,0 0 0 0 0,-1-1 0 0 0,1 1 1 0 0,0 0-1 0 0,0 0 0 0 0,0 0 0 0 0,0 0 0 0 0,0-1 0 0 0,0 1 0 0 0,0 0 1 0 0,0 0-1 0 0,1 0 0 0 0,-1-2 0 0 0,4-3 316 0 0,1-1-1 0 0,-1 1 1 0 0,1 1-1 0 0,0-1 1 0 0,0 0-1 0 0,1 1 1 0 0,10-8-1 0 0,45-24 1129 0 0,-46 29-1277 0 0,-12 6-186 0 0,1 2-20 0 0,12-2-11 0 0,-12 1 102 0 0,-1 2-131 0 0,10 4 6 0 0,-9-4-8 0 0,1 16 142 0 0,-5-5-231 0 0,-1 5-13 0 0,-4 1 0 0 0,-2 1 0 0 0,-1 1 0 0 0,1-1 0 0 0,0-1 0 0 0,0-2 0 0 0,0-3 0 0 0,2 3 0 0 0,4-1 0 0 0,1-14 0 0 0,0 0 0 0 0,0 0 0 0 0,1-1 0 0 0,-1 1 0 0 0,0 0 0 0 0,1 0 0 0 0,-1-1 0 0 0,1 1 0 0 0,-1 0 0 0 0,1-1 0 0 0,0 1 0 0 0,-1 0 0 0 0,1-1 0 0 0,-1 1 0 0 0,2 0 0 0 0,17 8 0 0 0,3-1 0 0 0,14 9-42 0 0,-32-13 1 0 0,0-2-25 0 0,11 10-70 0 0,-12-10 74 0 0,-1 0 6 0 0,-1 0 51 0 0,0-1 0 0 0,1 0 0 0 0,-1 1 0 0 0,0-1 0 0 0,0 1 0 0 0,0-1-1 0 0,0 1 1 0 0,-1-1 0 0 0,1 1 0 0 0,0 0 0 0 0,-1-1 0 0 0,1 1 0 0 0,-1 0 0 0 0,1 0-1 0 0,-1-1 1 0 0,0 1 0 0 0,0 0 0 0 0,0 0 0 0 0,0 0 0 0 0,0-1 0 0 0,0 1 0 0 0,0 0 0 0 0,0 0-1 0 0,-1 1 1 0 0,-4 5-7 0 0,0-2-1 0 0,0 1 1 0 0,-1-1-1 0 0,1 1 1 0 0,-1-2-1 0 0,-1 1 1 0 0,1-1-1 0 0,-1 0 1 0 0,0 0-1 0 0,0 0 0 0 0,0-1 1 0 0,-13 5-1 0 0,-15 11-858 0 0,31-18 581 0 0,0 0-1 0 0,0 0 0 0 0,0 0 1 0 0,0-1-1 0 0,0 0 0 0 0,-1 1 1 0 0,1-1-1 0 0,0-1 0 0 0,-8 1 1 0 0,8 0 74 0 0,-1 0-790 0 0,1-2-174 0 0,-14-2-232 0 0,14 2-1332 0 0,2-6-5875 0 0,-4-1 6563 0 0,5 7 397 0 0</inkml:trace>
  <inkml:trace contextRef="#ctx0" brushRef="#br0" timeOffset="423.7">381 51 1692 0 0,'0'0'2080'0'0,"3"-2"-71"0"0,3-1-1909 0 0,10-7 10433 0 0,-9 4-3191 0 0,-8 21-5496 0 0,0-11-1489 0 0,1 0-1 0 0,-1 0 1 0 0,-1 0 0 0 0,1-1-1 0 0,-1 1 1 0 0,1 0-1 0 0,-4 3 1 0 0,-3 11 337 0 0,6-14-663 0 0,-30 98 1952 0 0,29-89-1715 0 0,0 0-1 0 0,1 1 0 0 0,1-1 0 0 0,0 1 1 0 0,2 25-1 0 0,-1-34-264 0 0,9 21-23 0 0,-8-22-66 0 0,1 0 0 0 0,1 0 0 0 0,-1 0 1 0 0,1 0-1 0 0,-1-1 0 0 0,1 1 0 0 0,0-1 0 0 0,0 0 1 0 0,0 0-1 0 0,1 0 0 0 0,6 5 0 0 0,-7-7-130 0 0,2 0 14 0 0,15 4 27 0 0,-16-4 14 0 0,15-2-89 0 0,-15 1 141 0 0,13-10-286 0 0,-17 7 334 0 0,-1 2 30 0 0,1-1-1 0 0,0 1 0 0 0,-1 0 0 0 0,0-1 0 0 0,1 1 0 0 0,-1-1 0 0 0,0 1 0 0 0,0 0 0 0 0,0 0 0 0 0,0 0 0 0 0,0-1 0 0 0,0 1 0 0 0,0 0 0 0 0,0 0 1 0 0,0 0-1 0 0,-3-1 0 0 0,1 0-288 0 0,-13-3-612 0 0,12 4 315 0 0,-15 2-1788 0 0,-9 4-8985 0 0,25-4 5973 0 0</inkml:trace>
  <inkml:trace contextRef="#ctx0" brushRef="#br0" timeOffset="788.24">613 186 1804 0 0,'5'-13'1930'0'0,"5"-11"9553"0"0,-6 21-5254 0 0,-3 13-1721 0 0,2-5-4183 0 0,0 0-1 0 0,0 0 0 0 0,0-1 1 0 0,0 1-1 0 0,1-1 1 0 0,0 0-1 0 0,7 6 0 0 0,-8-6-214 0 0,7 5 205 0 0,-1 0-83 0 0,0 0-1 0 0,0 0 1 0 0,12 19 0 0 0,-16-15-122 0 0,-5-4-36 0 0,1-7-101 0 0,-1 0 0 0 0,1 0 1 0 0,-1 0-1 0 0,1 0 0 0 0,-1 0 0 0 0,0 0 0 0 0,0 0 0 0 0,0 0 0 0 0,0 0 0 0 0,-1 0 0 0 0,1 0 0 0 0,0 0 0 0 0,-1-1 0 0 0,0 1 0 0 0,1 0 0 0 0,-1 0 0 0 0,-1 3 0 0 0,-1-1-144 0 0,2-2-87 0 0,-1 0 0 0 0,1 0 0 0 0,-1 0 0 0 0,1 0 0 0 0,-1-1 0 0 0,0 1 0 0 0,1 0 0 0 0,-1-1 0 0 0,0 0 0 0 0,0 1 0 0 0,0-1 0 0 0,-4 2 0 0 0,4-2 290 0 0,0 0-1023 0 0,-3 0-2805 0 0,0 0 1976 0 0,-3 0-829 0 0,0-1-4964 0 0</inkml:trace>
  <inkml:trace contextRef="#ctx0" brushRef="#br0" timeOffset="1073.44">641 139 1364 0 0,'0'0'5238'0'0,"1"-3"-3595"0"0,0-2-1385 0 0,6-14 7933 0 0,-5 17-7092 0 0,0 1-80 0 0,15-10 1499 0 0,33-13 1 0 0,53-14-1767 0 0,-53 24-3316 0 0,-45 12 1784 0 0,13 1-2329 0 0,-14 0-417 0 0</inkml:trace>
  <inkml:trace contextRef="#ctx0" brushRef="#br0" timeOffset="1499.24">49 673 2068 0 0,'0'0'2090'0'0,"-3"2"-8"0"0,-10 5-61 0 0,10-5 1745 0 0,1 0-2046 0 0,2-2-1540 0 0,-1 0 0 0 0,1 0 0 0 0,0 0 0 0 0,0 0 0 0 0,0 0 0 0 0,0 0 0 0 0,-1 0 0 0 0,1 0 1 0 0,0 0-1 0 0,0 0 0 0 0,0 0 0 0 0,0 0 0 0 0,-1 0 0 0 0,1 0 0 0 0,0 0 0 0 0,0 0 0 0 0,0 1 0 0 0,0-1 1 0 0,0 0-1 0 0,0 0 0 0 0,0 0 0 0 0,-1 0 0 0 0,1 0 0 0 0,0 1 0 0 0,0-1 0 0 0,0 0 0 0 0,0 0 0 0 0,0 0 1 0 0,0 0-1 0 0,0 0 0 0 0,0 1 0 0 0,0-1 0 0 0,0 0 0 0 0,0 0 0 0 0,0 0 0 0 0,0 0 0 0 0,0 1 1 0 0,0-1-1 0 0,0 0 0 0 0,0 0 0 0 0,0 0 0 0 0,0 0 0 0 0,0 1 0 0 0,0-1 0 0 0,0 0 0 0 0,0 0 0 0 0,0 0 1 0 0,0 0-1 0 0,0 1 0 0 0,0-1 0 0 0,1 0 0 0 0,-1 0 0 0 0,13-1 3213 0 0,31-11-3575 0 0,-32 8 1412 0 0,671-161 3592 0 0,-579 141-4610 0 0,133-25-212 0 0,-208 42 0 0 0,8 0 0 0 0,-3-2 0 0 0,-7 3 0 0 0,-3 2 0 0 0,1-1 0 0 0,-2-1 0 0 0,-5 1-209 0 0,-15 4-859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02.104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38 51 1176 0 0,'-16'14'2218'0'0,"13"-12"-27"0"0,0 1-113 0 0,-12 7 6916 0 0,15-12-8092 0 0,0 0-821 0 0,0 1 0 0 0,0-1 0 0 0,1 0 0 0 0,-1 1 0 0 0,0-1 0 0 0,1 0 0 0 0,0 1 0 0 0,-1-1 0 0 0,1 1 0 0 0,0-1 0 0 0,0 1 0 0 0,0-1 0 0 0,0 1 0 0 0,0-1 0 0 0,0 1 0 0 0,0 0 0 0 0,0 0 0 0 0,0 0 0 0 0,1 0 0 0 0,-1-1 0 0 0,1 2 0 0 0,-1-1 0 0 0,3-1 0 0 0,21-15-692 0 0,3 2-3526 0 0,-17 9 680 0 0,0 0-872 0 0</inkml:trace>
  <inkml:trace contextRef="#ctx0" brushRef="#br0" timeOffset="205.86">91 30 1272 0 0,'-8'9'927'0'0,"-53"63"7824"0"0,59-69-6309 0 0,-4 4-2642 0 0,7-2 6899 0 0,45-21-6993 0 0,-9 0-7503 0 0,-17 7 3260 0 0,-15 7-870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8:56.538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41 481 964 0 0,'0'0'1496'0'0,"-1"-2"-31"0"0,-3-3-1494 0 0,-12-19 13967 0 0,10 14-3008 0 0,5 12-10767 0 0,-1 0 1 0 0,1 0 0 0 0,0 0-1 0 0,-1 0 1 0 0,1 1-1 0 0,0-1 1 0 0,0 0-1 0 0,0 0 1 0 0,1 1-1 0 0,-1-1 1 0 0,1 0-1 0 0,-1 1 1 0 0,1-1-1 0 0,-1 4 1 0 0,3 39 916 0 0,0-23-653 0 0,1 39-384 0 0,-1-42-43 0 0,0-2 0 0 0,-2-16 0 0 0,0-1 0 0 0,0 1 0 0 0,0-1 0 0 0,-1 0 0 0 0,1 0 0 0 0,0 1 0 0 0,0-1 0 0 0,0 0 0 0 0,0 0 0 0 0,0 1 0 0 0,0-1 0 0 0,0 0 0 0 0,0 0 0 0 0,0 1 0 0 0,1-1 0 0 0,-1 0 0 0 0,0 0 0 0 0,0 1 0 0 0,0-1 0 0 0,0 0 0 0 0,0 0 0 0 0,0 1 0 0 0,0-1 0 0 0,1 0 0 0 0,-1 0 0 0 0,0 0 0 0 0,0 1 0 0 0,0-1 0 0 0,0 0 0 0 0,1 0 0 0 0,-1 0 0 0 0,0 0 0 0 0,0 0 0 0 0,1 1 0 0 0,7-18 0 0 0,-4-4 0 0 0,-1 1 0 0 0,-1 0 0 0 0,-1-36 0 0 0,-1 12 0 0 0,9-94 0 0 0,-6 113 0 0 0,1 0 0 0 0,2 0 0 0 0,11-35 0 0 0,-16 54 0 0 0,0 4 0 0 0,0 0 0 0 0,0-1 0 0 0,-1 1 0 0 0,1 0 0 0 0,0 0 0 0 0,1 0 0 0 0,-1 0 0 0 0,0 0 0 0 0,1 1 0 0 0,-1-1 0 0 0,1 0 0 0 0,1-1 0 0 0,15-18 0 0 0,4 6 0 0 0,3 8-16 0 0,-21 7-48 0 0,1-1 0 0 0,0 1 0 0 0,0 1 0 0 0,0-1 0 0 0,0 1 0 0 0,4 0 0 0 0,-6 0 11 0 0,-1-1-1 0 0,0 1 1 0 0,1 0 0 0 0,-1 0 0 0 0,0 0 0 0 0,0 0 0 0 0,1 0 0 0 0,-1 0 0 0 0,0 1 0 0 0,0-1 0 0 0,0 1 0 0 0,0 0 0 0 0,-1-1 0 0 0,1 1 0 0 0,2 4 0 0 0,-1-2-6 0 0,0 1 0 0 0,-1 0 0 0 0,0 0 1 0 0,0 1-1 0 0,0-1 0 0 0,-1 0 0 0 0,0 1 1 0 0,0-1-1 0 0,0 1 0 0 0,-1-1 0 0 0,0 11 1 0 0,-1-5-26 0 0,0-1 0 0 0,-1 1 1 0 0,0-1-1 0 0,-1 1 0 0 0,-7 16 1 0 0,-2 0-194 0 0,-2-1 0 0 0,-1 0 0 0 0,-27 36 0 0 0,38-57 192 0 0,1-1 0 0 0,-1 1 0 0 0,-1-1 0 0 0,1 0 0 0 0,-10 6 0 0 0,11-8-71 0 0,-11 3-122 0 0,12-3 230 0 0,-2-1-112 0 0,1-2-247 0 0,2 1 443 0 0,-14-5-284 0 0,15 5 261 0 0,-1 0 1 0 0,0 0-1 0 0,0-1 0 0 0,1 1 0 0 0,-1 0 0 0 0,0-1 0 0 0,1 1 0 0 0,-1-1 0 0 0,1 1 1 0 0,-1 0-1 0 0,0-1 0 0 0,1 0 0 0 0,-1 1 0 0 0,1-1 0 0 0,-1 1 0 0 0,1-1 0 0 0,0 0 0 0 0,-1 1 1 0 0,1-1-1 0 0,0 0 0 0 0,-1 1 0 0 0,1-1 0 0 0,0-1 0 0 0,3 3 91 0 0,12 4 17 0 0,-11-4 8 0 0,-1 2-4 0 0,15 18 264 0 0,22 34 1 0 0,-27-35-1517 0 0,32 35-1 0 0,-42-52 270 0 0,0 0-1 0 0,0 0 0 0 0,1-1 0 0 0,0 1 0 0 0,-1-1 0 0 0,1 0 0 0 0,0 0 1 0 0,0-1-1 0 0,0 1 0 0 0,7 1 0 0 0,-7-2-813 0 0,6 1-4411 0 0,14-2-1545 0 0</inkml:trace>
  <inkml:trace contextRef="#ctx0" brushRef="#br0" timeOffset="428.2">386 514 504 0 0,'0'0'17380'0'0,"3"-3"-16809"0"0,14-10 986 0 0,-14 10-1036 0 0,2-2 133 0 0,1-1 0 0 0,-1 0 1 0 0,-1 0-1 0 0,1 0 1 0 0,4-11-1 0 0,-7 13-74 0 0,1-14 540 0 0,-3 15-546 0 0,0-1 1 0 0,0-11 2 0 0,0 12-10 0 0,-1-2 141 0 0,1 5-631 0 0,0-1-1 0 0,0 1 1 0 0,0-1-1 0 0,0 1 0 0 0,0 0 1 0 0,0-1-1 0 0,0 1 1 0 0,0 0-1 0 0,0-1 1 0 0,0 1-1 0 0,0-1 1 0 0,0 1-1 0 0,0 0 1 0 0,0-1-1 0 0,0 1 0 0 0,0 0 1 0 0,0-1-1 0 0,-1 1 1 0 0,1 0-1 0 0,0-1 1 0 0,0 1-1 0 0,0 0 1 0 0,-1-1-1 0 0,1 1 0 0 0,0 0 1 0 0,0-1-1 0 0,-1 1 1 0 0,1 0-1 0 0,0 0 1 0 0,-1 0-1 0 0,1-1 1 0 0,0 1-1 0 0,-1 0 1 0 0,1 0-1 0 0,0 0 0 0 0,-1 0 1 0 0,1-1-1 0 0,0 1 1 0 0,-1 0-1 0 0,-20-2 143 0 0,16 1-26 0 0,3 5-77 0 0,-10 13-95 0 0,1 2-21 0 0,3 3 0 0 0,1 1 0 0 0,3 0 0 0 0,4 7 6 0 0,2-24-9 0 0,1-2-30 0 0,-3-1-261 0 0,1 0 0 0 0,0 0 1 0 0,1 0-1 0 0,-1 0 0 0 0,0 0 0 0 0,1 0 0 0 0,0 0 0 0 0,-1 0 1 0 0,1-1-1 0 0,0 1 0 0 0,4 3 0 0 0,-4-4 389 0 0,1 1-1142 0 0,-1-2 885 0 0,-1-1 0 0 0,1 0-1 0 0,-1 0 1 0 0,1 1 0 0 0,-1-1-1 0 0,1 1 1 0 0,-1-1 0 0 0,1 1 0 0 0,-1 0-1 0 0,0-1 1 0 0,1 1 0 0 0,0 1-1 0 0,2 0-267 0 0,0 0-1231 0 0,2-1-1302 0 0,1-1 1101 0 0,4 1-791 0 0,1-1-4818 0 0</inkml:trace>
  <inkml:trace contextRef="#ctx0" brushRef="#br0" timeOffset="702.65">661 437 896 0 0,'0'0'1766'0'0,"0"-2"-12"0"0,-3-12 3254 0 0,1 4 417 0 0,1 1 4730 0 0,-3 12-9327 0 0,-10 9-80 0 0,12-9-577 0 0,0-1-1 0 0,1 0 1 0 0,-1 0-1 0 0,1 1 0 0 0,0-1 1 0 0,0 1-1 0 0,0-1 0 0 0,0 1 1 0 0,0-1-1 0 0,1 1 0 0 0,-1 0 1 0 0,1-1-1 0 0,-1 5 1 0 0,1-6-136 0 0,-2 5 181 0 0,1 0 0 0 0,-1 1 0 0 0,1-1 0 0 0,1 0 0 0 0,-1 13 0 0 0,9 20-2736 0 0,-3-21-49 0 0,-1-15-110 0 0,-2-2 1038 0 0,8 6-840 0 0,-2-5-6177 0 0</inkml:trace>
  <inkml:trace contextRef="#ctx0" brushRef="#br0" timeOffset="1265.5">797 479 916 0 0,'0'0'5915'0'0,"1"-2"-4616"0"0,2-10 8825 0 0,-1 10-9698 0 0,24-15 2065 0 0,-23 15-1571 0 0,0-1-740 0 0,-1 1 144 0 0,0 1 0 0 0,0-1 0 0 0,0 0 0 0 0,-1 1 0 0 0,1-1-1 0 0,-1 0 1 0 0,1 0 0 0 0,-1 0 0 0 0,0 0 0 0 0,1-1-1 0 0,-1 1 1 0 0,0 0 0 0 0,-1 0 0 0 0,1-1 0 0 0,0 1 0 0 0,-1 0-1 0 0,1-1 1 0 0,-1 1 0 0 0,1-5 0 0 0,-1 5 733 0 0,-2 0-587 0 0,2 1-389 0 0,0 0 0 0 0,0 1 1 0 0,0-1-1 0 0,0 1 0 0 0,0-1 0 0 0,0 1 0 0 0,-1-1 0 0 0,1 1 0 0 0,0-1 0 0 0,0 1 0 0 0,-1-1 0 0 0,1 1 0 0 0,0-1 0 0 0,-1 1 0 0 0,1-1 0 0 0,0 1 0 0 0,-1-1 0 0 0,1 1 0 0 0,-1 0 0 0 0,1-1 0 0 0,-1 1 0 0 0,1 0 0 0 0,-1 0 0 0 0,1-1 0 0 0,-1 1 0 0 0,1 0 0 0 0,-1-1 0 0 0,-18 2 106 0 0,18 0-184 0 0,-1-1 1 0 0,1 1-1 0 0,0 0 0 0 0,-1 0 0 0 0,1 0 1 0 0,0 0-1 0 0,0 0 0 0 0,-1 0 0 0 0,1 0 1 0 0,-1 3-1 0 0,-8 10-3 0 0,2 4 0 0 0,5 0 0 0 0,3 3 0 0 0,3-1 0 0 0,6-3 0 0 0,6-1 0 0 0,4-3 0 0 0,3-6 0 0 0,3-5 0 0 0,6-3 0 0 0,-8-5 0 0 0,-4-3 0 0 0,-4-4 0 0 0,-4-4 0 0 0,-3-2 0 0 0,-2 1 0 0 0,-1 2 0 0 0,-1 1 0 0 0,-4 14 0 0 0,0 1 0 0 0,0-1 0 0 0,0 1 0 0 0,1-1 0 0 0,-1 1 0 0 0,0-1 0 0 0,0 0 0 0 0,0 1 0 0 0,1-1 0 0 0,-1 1 0 0 0,0-1 0 0 0,0 1 0 0 0,1-1 0 0 0,-1 1 0 0 0,1-1 0 0 0,-1 1 0 0 0,0-1 0 0 0,1 1 0 0 0,0-1 0 0 0,0 1 0 0 0,-1 1 0 0 0,1-1 0 0 0,0 1 0 0 0,-1-1 0 0 0,1 0 0 0 0,-1 1 0 0 0,1-1 0 0 0,0 1 0 0 0,-1-1 0 0 0,1 1 0 0 0,-1-1 0 0 0,0 1 0 0 0,1 0 0 0 0,-1-1 0 0 0,1 1 0 0 0,-1 0 0 0 0,1 1 0 0 0,3 14 0 0 0,0 26-555 0 0,-3-37-809 0 0,6 25-236 0 0,-3-20-4712 0 0,2-1-6944 0 0</inkml:trace>
  <inkml:trace contextRef="#ctx0" brushRef="#br0" timeOffset="1530.49">1010 272 700 0 0,'-12'-18'2940'0'0,"3"4"-479"0"0,0 1 375 0 0,-1-1-1448 0 0</inkml:trace>
  <inkml:trace contextRef="#ctx0" brushRef="#br0" timeOffset="1801">1087 262 1148 0 0,'3'2'1774'0'0,"11"6"12005"0"0,2-2-11711 0 0,-13-4 386 0 0,0 0-1751 0 0,19 24 1725 0 0,32 44-1 0 0,-36-44-1746 0 0,-16-24-504 0 0,0 0 17 0 0,-1 0-138 0 0,1-1 0 0 0,-1 0 0 0 0,0 0 0 0 0,0 0 0 0 0,1 0 1 0 0,-1 0-1 0 0,1 0 0 0 0,-1-1 0 0 0,0 1 0 0 0,1 0 1 0 0,0-1-1 0 0,-1 1 0 0 0,1-1 0 0 0,-1 1 0 0 0,1-1 1 0 0,0 0-1 0 0,-1 0 0 0 0,1 0 0 0 0,0 0 0 0 0,-1 0 0 0 0,3 0 1 0 0,3-16-505 0 0,-5 9-227 0 0,0 1 1 0 0,0-1-1 0 0,-1 1 0 0 0,1-11 0 0 0,-1 11 296 0 0,-1 3-581 0 0,0 0-297 0 0,1 0 471 0 0,0-2-135 0 0,-1 2-3391 0 0</inkml:trace>
  <inkml:trace contextRef="#ctx0" brushRef="#br0" timeOffset="3321.64">1349 393 888 0 0,'0'0'8640'0'0,"-1"-2"-7424"0"0,-9-22 4343 0 0,9 21-3696 0 0,0 1-1022 0 0,-5-8-51 0 0,5 7 1151 0 0,-1 1-1420 0 0,1 2-443 0 0,1-1 0 0 0,-1 1 0 0 0,0-1 0 0 0,1 0 0 0 0,-1 1 0 0 0,0 0 0 0 0,0-1 0 0 0,1 1 0 0 0,-1-1 0 0 0,0 1 0 0 0,0 0 0 0 0,0-1 0 0 0,1 1 0 0 0,-1 0 0 0 0,0 0 0 0 0,0 0 0 0 0,0 0 0 0 0,0 0 0 0 0,0 0 0 0 0,1 0 0 0 0,-1 0 0 0 0,0 0 0 0 0,0 0 0 0 0,0 0 0 0 0,0 1 0 0 0,1-1 0 0 0,-1 0 0 0 0,0 1 0 0 0,0-1 0 0 0,0 0 0 0 0,1 1 0 0 0,-1-1 0 0 0,0 1 0 0 0,1-1 0 0 0,-1 1 0 0 0,0-1 0 0 0,1 1 0 0 0,-1 0 0 0 0,0 1 0 0 0,-17 34 495 0 0,17-34-515 0 0,-4 16 3 0 0,5-16-39 0 0,0 1-1 0 0,-1-1 1 0 0,1 0-1 0 0,0 1 1 0 0,0-1-1 0 0,0 1 1 0 0,1-1-1 0 0,-1 1 1 0 0,2 2-1 0 0,12-8 31 0 0,-11 2 125 0 0,6-12 206 0 0,-8 12-325 0 0,0 1 0 0 0,0-1-1 0 0,0 0 1 0 0,0 0 0 0 0,0 0-1 0 0,-1 0 1 0 0,1 0 0 0 0,0 0-1 0 0,-1 0 1 0 0,1 0 0 0 0,-1 0-1 0 0,1 0 1 0 0,-1 0 0 0 0,1-2 551 0 0,3 4-599 0 0,13 2-6 0 0,-13-2 0 0 0,-2 2-27 0 0,0 0 0 0 0,0 0 0 0 0,0 0 0 0 0,0 0 0 0 0,1 0 0 0 0,-1 0 0 0 0,4 2 0 0 0,-4-3-30 0 0,7 5-9 0 0,-1 0-94 0 0,1 1 147 0 0,-6-6 13 0 0,1-3 18 0 0,-1 0 1 0 0,0 0-1 0 0,-1-1 1 0 0,1 1 0 0 0,0-1-1 0 0,0 1 1 0 0,-1-1-1 0 0,1 0 1 0 0,-1 0-1 0 0,0 0 1 0 0,1 0 0 0 0,-1 0-1 0 0,0-1 1 0 0,0 1-1 0 0,-1 0 1 0 0,1-1 0 0 0,0 0-1 0 0,-1 1 1 0 0,1-1-1 0 0,-1 0 1 0 0,0 0-1 0 0,0 0 1 0 0,1-5 0 0 0,1-30 393 0 0,-2-1 0 0 0,-4-50 1 0 0,0 3 610 0 0,0 58-634 0 0,3 25-347 0 0,-1 0-1 0 0,1-1 1 0 0,0 1-1 0 0,-1 0 1 0 0,1 0-1 0 0,1-7 1 0 0,0 8 121 0 0,0 6-96 0 0,11 29 23 0 0,-1 1 0 0 0,11 68 1 0 0,-13-56-317 0 0,17 99-505 0 0,-25-142 736 0 0,11-13-45 0 0,-9 7 15 0 0,0-1 1 0 0,0 0 0 0 0,0 0 0 0 0,0 0 0 0 0,-1-1 0 0 0,2-4 0 0 0,6-9-166 0 0,-2 5 106 0 0,-6 10-22 0 0,-2 3 99 0 0,0 0-1 0 0,1 0 0 0 0,-1 0 1 0 0,0 0-1 0 0,0 0 0 0 0,1 0 1 0 0,-1 0-1 0 0,0 0 0 0 0,0-1 1 0 0,0 1-1 0 0,1 0 0 0 0,-1 0 1 0 0,0 0-1 0 0,0 0 0 0 0,1 0 1 0 0,-1 0-1 0 0,0-1 0 0 0,0 1 1 0 0,0 0-1 0 0,0 0 0 0 0,1 0 1 0 0,-1-1-1 0 0,0 1 0 0 0,0 0 1 0 0,0 0-1 0 0,0 0 0 0 0,0-1 1 0 0,0 1-1 0 0,0 0 0 0 0,0-1 1 0 0,1 1-9 0 0,-1 0 1 0 0,0-1 0 0 0,0 1 0 0 0,0 0-1 0 0,0-1 1 0 0,0 1 0 0 0,1 0 0 0 0,-1-1-1 0 0,0 1 1 0 0,0 0 0 0 0,1 0 0 0 0,-1-1 0 0 0,0 1-1 0 0,0 0 1 0 0,1 0 0 0 0,-1-1 0 0 0,0 1-1 0 0,1 0 1 0 0,-1 0 0 0 0,0 0 0 0 0,1 0-1 0 0,-1 0 1 0 0,0-1 0 0 0,1 1 0 0 0,-1 0 0 0 0,0 0-1 0 0,1 0 1 0 0,-1 0 0 0 0,0 0 0 0 0,1 0-1 0 0,-1 0 1 0 0,0 0 0 0 0,1 0 0 0 0,-1 0-1 0 0,1 0 1 0 0,-1 1 0 0 0,1-1 0 0 0,18 4-114 0 0,-12 10-60 0 0,-6-11 125 0 0,0 1-1 0 0,0-1 1 0 0,-1 1-1 0 0,1-1 1 0 0,-1 0-1 0 0,0 1 1 0 0,0-1-1 0 0,0 1 1 0 0,0-1-1 0 0,-1 1 1 0 0,1-1-1 0 0,-1 1 1 0 0,0-1-1 0 0,0 0 1 0 0,0 1-1 0 0,0-1 1 0 0,-1 0-1 0 0,-2 4 1 0 0,3-4 9 0 0,0-1-12 0 0,0 1 34 0 0,-4 8 12 0 0,4-9 130 0 0,-3-2-105 0 0,-13-2-5 0 0,13 2 58 0 0,3-2-39 0 0,0-3-125 0 0,7 12 92 0 0,-2 0 2 0 0,1-1 1 0 0,0 0-1 0 0,1 0 0 0 0,0-1 0 0 0,7 6 1 0 0,-10-9 0 0 0,1-1 0 0 0,0 1 1 0 0,-1-1-1 0 0,1 0 1 0 0,0-1-1 0 0,0 1 1 0 0,0-1-1 0 0,5 1 1 0 0,-4-1-21 0 0,5-5 8 0 0,-1 0 1 0 0,0 0 0 0 0,0-1 0 0 0,-1 0-1 0 0,11-11 1 0 0,-14 13 23 0 0,-1-1 0 0 0,1-1 0 0 0,-1 1 0 0 0,-1-1 0 0 0,1 1 0 0 0,-1-1 0 0 0,0 0 0 0 0,0-1 0 0 0,3-11 0 0 0,1-12 87 0 0,-2-1 1 0 0,-1 1 0 0 0,0-33-1 0 0,4-31 90 0 0,-7 72-226 0 0,-1 19 26 0 0,-1 1 0 0 0,1 1 21 0 0,0 1-1 0 0,1 0 0 0 0,-1-1 0 0 0,0 1 0 0 0,-1-1 0 0 0,1 1 0 0 0,0 0 1 0 0,0-1-1 0 0,0 1 0 0 0,0-1 0 0 0,0 1 0 0 0,0 0 0 0 0,0-1 1 0 0,-1 1-1 0 0,1 0 0 0 0,0-1 0 0 0,0 1 0 0 0,0 0 0 0 0,-1-1 1 0 0,1 1-1 0 0,0 0 0 0 0,0 0 0 0 0,-1-1 0 0 0,1 1 0 0 0,0 0 0 0 0,-1-1 1 0 0,-3 12-16 0 0,0 1 0 0 0,0-1 0 0 0,2 1 0 0 0,-1 0 0 0 0,2-1 0 0 0,-1 1 0 0 0,2 0 0 0 0,0 0 0 0 0,0 0 0 0 0,3 18 0 0 0,2 1-309 0 0,1 0 1 0 0,19 56 0 0 0,-23-80 224 0 0,0 0 0 0 0,0 0 1 0 0,1-1-1 0 0,0 1 0 0 0,1-1 1 0 0,-1 0-1 0 0,1 1 0 0 0,0-2 1 0 0,1 1-1 0 0,4 5 0 0 0,-6-9-1 0 0,-2-2 85 0 0,0 0 1 0 0,1 0 0 0 0,-1 1-1 0 0,0-1 1 0 0,0 0 0 0 0,1 1-1 0 0,-1-1 1 0 0,0 1-1 0 0,0 0 1 0 0,1-1 0 0 0,-1 1-1 0 0,1 1 1 0 0,-1-2-9 0 0,3 2-76 0 0,0-3 8 0 0,0-1 73 0 0,1 1 1 0 0,-1-1-1 0 0,0 0 1 0 0,1 0-1 0 0,-1 0 0 0 0,0 0 1 0 0,0-1-1 0 0,0 0 1 0 0,-1 0-1 0 0,1 0 1 0 0,-1 0-1 0 0,0 0 1 0 0,1-1-1 0 0,-2 0 1 0 0,1 1-1 0 0,0-1 0 0 0,-1 0 1 0 0,1 0-1 0 0,-1-1 1 0 0,0 1-1 0 0,2-8 1 0 0,1-4 395 0 0,-1-1 0 0 0,2-19 1 0 0,-6 33-246 0 0,0 0-13 0 0,-1-7-16 0 0,1 7 260 0 0,-5 4-284 0 0,-13 4-22 0 0,16-3-46 0 0,-1 0-1 0 0,0 1 1 0 0,1-1 0 0 0,-1 1-1 0 0,1 0 1 0 0,0-1 0 0 0,0 1-1 0 0,0 0 1 0 0,0 0-1 0 0,0 0 1 0 0,1 1 0 0 0,0-1-1 0 0,-1 0 1 0 0,0 5 0 0 0,1-4-27 0 0,0 0 1 0 0,0 1 0 0 0,0-1-1 0 0,1 1 1 0 0,-1-1 0 0 0,1 1 0 0 0,0-1-1 0 0,1 1 1 0 0,0 4 0 0 0,-1-7-83 0 0,1 0 0 0 0,0 0 0 0 0,-1-1 0 0 0,1 1 0 0 0,0 0 0 0 0,0-1-1 0 0,0 1 1 0 0,0 0 0 0 0,0-1 0 0 0,0 1 0 0 0,0-1 0 0 0,1 0 0 0 0,-1 1 0 0 0,1-1 0 0 0,-1 0 0 0 0,1 0 0 0 0,-1 0 0 0 0,1 0 0 0 0,-1 0 0 0 0,1 0 0 0 0,0 0 0 0 0,0-1 0 0 0,-1 1 0 0 0,1-1-1 0 0,0 1 1 0 0,0-1 0 0 0,3 1 0 0 0,45 0-3583 0 0,9-5-8586 0 0,-32 0 5093 0 0</inkml:trace>
  <inkml:trace contextRef="#ctx0" brushRef="#br0" timeOffset="5252.42">2534 371 128 0 0,'0'0'8610'0'0,"-2"-2"-7516"0"0,-13-23 3642 0 0,13 22-3900 0 0,1 1-35 0 0,-6-8-40 0 0,6 7-32 0 0,-2 1-30 0 0,-35-40 3788 0 0,35 40-3565 0 0,0 1-505 0 0,-12-4-30 0 0,11 4-24 0 0,0 1-19 0 0,0 1-232 0 0,0 0 0 0 0,-1 1 0 0 0,1-1 0 0 0,0 0-1 0 0,0 1 1 0 0,1 0 0 0 0,-1 0 0 0 0,0 0 0 0 0,1 1 0 0 0,-1-1 0 0 0,1 1 0 0 0,0 0 0 0 0,-4 4 0 0 0,0 1-27 0 0,2 0 0 0 0,-1 1 1 0 0,1-1-1 0 0,1 1 0 0 0,-1 0 0 0 0,1 0 0 0 0,-3 13 0 0 0,5-15-159 0 0,0 0 0 0 0,1 0-1 0 0,0 0 1 0 0,0 0 0 0 0,1 0-1 0 0,0 1 1 0 0,0-1 0 0 0,0 0-1 0 0,1 0 1 0 0,0 1 0 0 0,2 7-1 0 0,-2-13 42 0 0,0 0 0 0 0,0 1 0 0 0,0-1 0 0 0,0 0 0 0 0,0 0 0 0 0,1 0-1 0 0,-1 0 1 0 0,1 0 0 0 0,-1-1 0 0 0,1 1 0 0 0,0 0 0 0 0,1 1 0 0 0,-1-1 35 0 0,1 0-50 0 0,1-2 5 0 0,-1 0 33 0 0,-2 0 7 0 0,0 1 0 0 0,0-1 0 0 0,0 0 0 0 0,0 0 0 0 0,0 0 0 0 0,0 0-1 0 0,0 0 1 0 0,0 0 0 0 0,0 0 0 0 0,0 0 0 0 0,0-1 0 0 0,0 1 0 0 0,0 0 0 0 0,0-1-1 0 0,0 1 1 0 0,0 0 0 0 0,1-2 0 0 0,13-7-22 0 0,2-5 26 0 0,-10 5 10 0 0,0-1 0 0 0,0 1-1 0 0,0-1 1 0 0,-1-1 0 0 0,-1 1 0 0 0,0-1 0 0 0,0 0-1 0 0,5-21 1 0 0,16-99 120 0 0,-20 94-84 0 0,2-12 695 0 0,-3 0 0 0 0,0-57 0 0 0,-5 106-740 0 0,0 0 1 0 0,0 1-1 0 0,0-1 1 0 0,-1 0-1 0 0,1 0 1 0 0,0 0-1 0 0,0 1 1 0 0,0-1-1 0 0,0 0 0 0 0,0 0 1 0 0,0 0-1 0 0,0 1 1 0 0,-1-1-1 0 0,1 0 1 0 0,0 0-1 0 0,0 0 1 0 0,0 0-1 0 0,0 0 0 0 0,-1 1 1 0 0,1-1-1 0 0,0 0 1 0 0,0 0-1 0 0,0 0 1 0 0,-1 0-1 0 0,1 0 1 0 0,0 0-1 0 0,0 0 1 0 0,0 0-1 0 0,-1 0 0 0 0,1 0 1 0 0,0 0-1 0 0,0 0 1 0 0,-1 0-1 0 0,1 0 1 0 0,0 0-1 0 0,-1 0 0 0 0,1 0 1 0 0,-1 0-1 0 0,0 0 0 0 0,1 0 0 0 0,-1 1 0 0 0,1-1 1 0 0,-1 0-1 0 0,1 0 0 0 0,-1 0 0 0 0,1 0 1 0 0,-1 1-1 0 0,1-1 0 0 0,-1 0 0 0 0,1 1 1 0 0,0-1-1 0 0,-1 0 0 0 0,1 1 0 0 0,-1-1 1 0 0,1 0-1 0 0,0 1 0 0 0,-1-1 0 0 0,1 1 0 0 0,0-1 1 0 0,0 1-1 0 0,-1-1 0 0 0,1 0 0 0 0,0 1 1 0 0,0-1-1 0 0,-1 1 0 0 0,1 0 0 0 0,-7 31-181 0 0,2 0-1 0 0,1 1 0 0 0,2-1 0 0 0,1 1 1 0 0,1-1-1 0 0,2 1 0 0 0,1-1 0 0 0,2 0 1 0 0,14 56-1 0 0,-17-84 125 0 0,0 0 0 0 0,0-1 0 0 0,0 1 0 0 0,0 0 0 0 0,0-1 0 0 0,1 1 0 0 0,0-1 0 0 0,0 0 0 0 0,5 5 0 0 0,-6-7-39 0 0,2 0-2 0 0,-2 0 80 0 0,1 0 0 0 0,-1-1 1 0 0,1 0-1 0 0,-1 0 0 0 0,1 0 1 0 0,-1 0-1 0 0,1 0 0 0 0,-1 0 0 0 0,1 0 1 0 0,-1-1-1 0 0,1 1 0 0 0,-1-1 1 0 0,0 0-1 0 0,1 0 0 0 0,-1 0 1 0 0,0 0-1 0 0,0 0 0 0 0,0 0 1 0 0,1-1-1 0 0,-1 1 0 0 0,0-1 0 0 0,-1 0 1 0 0,1 1-1 0 0,0-1 0 0 0,2-3 1 0 0,2-3 116 0 0,-1 0 0 0 0,0-1 1 0 0,0 0-1 0 0,-1 0 0 0 0,0-1 1 0 0,-1 1-1 0 0,0-1 0 0 0,0 1 1 0 0,-1-1-1 0 0,0 0 0 0 0,-1 0 1 0 0,1-20-1 0 0,-3 28 143 0 0,-4-3-98 0 0,5 5-139 0 0,0-1 0 0 0,0 1-1 0 0,0 0 1 0 0,0-1 0 0 0,0 1 0 0 0,-1 0-1 0 0,1 0 1 0 0,0-1 0 0 0,0 1-1 0 0,0 0 1 0 0,-1-1 0 0 0,1 1 0 0 0,0 0-1 0 0,0 0 1 0 0,-1 0 0 0 0,1-1-1 0 0,0 1 1 0 0,-1 0 0 0 0,1 0 0 0 0,0 0-1 0 0,-1 0 1 0 0,1-1 0 0 0,0 1-1 0 0,-1 0 1 0 0,1 0 0 0 0,0 0 0 0 0,-1 0-1 0 0,1 0 1 0 0,0 0 0 0 0,-1 0-1 0 0,1 0 1 0 0,0 0 0 0 0,-1 0 0 0 0,1 0-1 0 0,0 0 1 0 0,-1 0 0 0 0,1 1-1 0 0,-1-1 1 0 0,-3 2 14 0 0,1 0-1 0 0,-1 1 1 0 0,1 0-1 0 0,0-1 0 0 0,0 1 1 0 0,0 0-1 0 0,0 1 1 0 0,0-1-1 0 0,0 0 1 0 0,1 1-1 0 0,-4 7 1 0 0,1 5-265 0 0,0 1 0 0 0,1 0 0 0 0,1 0 1 0 0,1 0-1 0 0,0 0 0 0 0,2 25 0 0 0,0-39 112 0 0,0-2 115 0 0,0 0 0 0 0,0-1 1 0 0,0 1-1 0 0,0 0 0 0 0,0-1 1 0 0,0 1-1 0 0,0 0 0 0 0,0-1 1 0 0,0 1-1 0 0,0 0 0 0 0,1-1 1 0 0,-1 1-1 0 0,0-1 0 0 0,0 1 1 0 0,1 0-1 0 0,-1-1 0 0 0,0 1 1 0 0,1-1-1 0 0,-1 1 0 0 0,1-1 1 0 0,-1 1-1 0 0,1-1 0 0 0,-1 1 1 0 0,1-1-1 0 0,-1 0 0 0 0,1 1 1 0 0,18-3-4 0 0,-16-1 59 0 0,1 1-1 0 0,-1 0 1 0 0,0-1-1 0 0,0 0 1 0 0,-1 0-1 0 0,1 0 1 0 0,0 0-1 0 0,-1 0 0 0 0,0-1 1 0 0,0 1-1 0 0,0-1 1 0 0,0 1-1 0 0,-1-1 1 0 0,3-7-1 0 0,3-4 443 0 0,5-12 958 0 0,-10 24-1040 0 0,2-7 624 0 0,-4 36-809 0 0,0-23-200 0 0,0 0-36 0 0,5 26-223 0 0,-4-26 150 0 0,5 6-182 0 0,-6-8 269 0 0,0 0 0 0 0,0-1 0 0 0,0 1-1 0 0,0 0 1 0 0,0-1 0 0 0,0 1-1 0 0,1 0 1 0 0,-1-1 0 0 0,0 1 0 0 0,1-1-1 0 0,-1 1 1 0 0,0 0 0 0 0,1-1 0 0 0,-1 1-1 0 0,1-1 1 0 0,-1 1 0 0 0,0-1 0 0 0,1 1-1 0 0,-1-1 1 0 0,1 0 0 0 0,0 1-1 0 0,-1-1 1 0 0,1 1 0 0 0,-1-1 0 0 0,1 0-1 0 0,0 0 1 0 0,-1 1 0 0 0,1-1 0 0 0,-1 0-1 0 0,1 0 1 0 0,0 0 0 0 0,-1 0 0 0 0,2 0-1 0 0,15-4-1 0 0,-12 3-3 0 0,-5 1 13 0 0,0 0 1 0 0,0-1-1 0 0,0 1 1 0 0,0 0-1 0 0,1-1 0 0 0,-1 1 1 0 0,0 0-1 0 0,0-1 1 0 0,1 1-1 0 0,-1 0 0 0 0,0 0 1 0 0,0-1-1 0 0,1 1 0 0 0,-1 0 1 0 0,0 0-1 0 0,1 0 1 0 0,-1-1-1 0 0,0 1 0 0 0,1 0 1 0 0,-1 0-1 0 0,1 0 1 0 0,-1 0-1 0 0,0 0 0 0 0,1 0 1 0 0,0-1-1 0 0,-1 1 1 0 0,1 0-1 0 0,-1 0 1 0 0,0 0-1 0 0,1 0 1 0 0,-1 0 0 0 0,0 0-1 0 0,1 0 1 0 0,-1 0-1 0 0,1 0 1 0 0,-1-1-1 0 0,0 1 1 0 0,1 0-1 0 0,-1 0 1 0 0,0 0 0 0 0,0-1-1 0 0,1 1 1 0 0,-1 0-1 0 0,0-1 1 0 0,1 1-1 0 0,-1 0 1 0 0,0 0-1 0 0,0-1 1 0 0,0 1 0 0 0,1 0-1 0 0,-1-1 1 0 0,7-6 15 0 0,3-1 72 0 0,10-15 235 0 0,-18 21-310 0 0,17 6-1001 0 0,-15-3 720 0 0,-2 2-263 0 0,0-1 316 0 0,0 1 0 0 0,0-1 1 0 0,0 1-1 0 0,0-1 0 0 0,0 1 0 0 0,0-1 0 0 0,6 3 0 0 0,-6-2-138 0 0,1-2 41 0 0,-1 1 232 0 0,-1-1 0 0 0,1 0 0 0 0,0 1 0 0 0,0-1-1 0 0,0 0 1 0 0,0 0 0 0 0,0-1 0 0 0,1 1 0 0 0,-1 0-1 0 0,0-1 1 0 0,0 1 0 0 0,0-1 0 0 0,1 0 0 0 0,-1 0 0 0 0,0 0-1 0 0,1 0 1 0 0,-1 0 0 0 0,4-1 0 0 0,10-3-16 0 0,-12 3 33 0 0,-4 0 63 0 0,1 1 0 0 0,-1-1 0 0 0,0 1 0 0 0,1 0 0 0 0,-1-1 0 0 0,0 1 0 0 0,1 0 0 0 0,-1 0 0 0 0,0-1 0 0 0,1 1 0 0 0,-1 0 0 0 0,0 0-1 0 0,1-1 1 0 0,-1 1 0 0 0,1 0 0 0 0,-1 0 0 0 0,0 0 0 0 0,1 0 0 0 0,-1 0 0 0 0,1 0 0 0 0,-1 0 0 0 0,1 0 0 0 0,0 0 0 0 0,-1 0 6 0 0,1 0 0 0 0,-1 0-1 0 0,0 0 1 0 0,1-1 0 0 0,-1 1 0 0 0,1 0 0 0 0,-1 0 0 0 0,1 0-1 0 0,-1 0 1 0 0,0 0 0 0 0,1 0 0 0 0,-1-1 0 0 0,1 1 0 0 0,-1 0-1 0 0,0 0 1 0 0,1-1 0 0 0,-1 1 0 0 0,0 0 0 0 0,1-1 0 0 0,-1 1-1 0 0,0 0 1 0 0,1-1 0 0 0,-1 1 0 0 0,0-1 4 0 0,0 1 1 0 0,0-1 0 0 0,0 1-1 0 0,0 0 1 0 0,0-1-1 0 0,0 1 1 0 0,0 0-1 0 0,1-1 1 0 0,-1 1 0 0 0,0-1-1 0 0,0 1 1 0 0,0 0-1 0 0,1-1 1 0 0,-1 1-1 0 0,0 0 1 0 0,0 0 0 0 0,0-1-1 0 0,1 1 1 0 0,-1 0-1 0 0,0-1 1 0 0,1 1-1 0 0,-1 0 1 0 0,0 0 0 0 0,1-1-1 0 0,8-9 437 0 0,-8 6-238 0 0,0 1 0 0 0,0 0 0 0 0,0-1 0 0 0,-1 1 0 0 0,1-1-1 0 0,-1 1 1 0 0,0-1 0 0 0,0 1 0 0 0,0-1 0 0 0,-1 1 0 0 0,1-1-1 0 0,-2-4 1 0 0,2 6-5 0 0,-1-1 245 0 0,0-15 1216 0 0,-2 8-671 0 0,10 44-609 0 0,1 0-1 0 0,16 38 0 0 0,-12-39-249 0 0,-1 1-1 0 0,8 49 1 0 0,-16-51-276 0 0,-2 0 0 0 0,-1 0 1 0 0,-1 0-1 0 0,-2 0 0 0 0,-1 0 1 0 0,-1-1-1 0 0,-2 0 0 0 0,-1 0 0 0 0,-13 32 1 0 0,21-63 120 0 0,0 1 1 0 0,0 0 0 0 0,-1 0-1 0 0,1-1 1 0 0,0 1-1 0 0,-1 0 1 0 0,1 0 0 0 0,-1-1-1 0 0,1 1 1 0 0,-1 0-1 0 0,1-1 1 0 0,-1 1 0 0 0,1-1-1 0 0,-1 1 1 0 0,0-1 0 0 0,1 1-1 0 0,-1-1 1 0 0,0 1-1 0 0,1-1 1 0 0,-1 1 0 0 0,0-1-1 0 0,0 0 1 0 0,1 0-1 0 0,-1 1 1 0 0,0-1 0 0 0,0 0-1 0 0,1 0 1 0 0,-1 0-1 0 0,0 0 1 0 0,0 0 0 0 0,0 0-1 0 0,0 0 1 0 0,1 0-1 0 0,-1 0 1 0 0,0 0 0 0 0,0 0-1 0 0,1-1 1 0 0,-1 1 0 0 0,0 0-1 0 0,0 0 1 0 0,1-1-1 0 0,-2 0 1 0 0,0 0 77 0 0,1 1-71 0 0,0-1-1 0 0,0 1 0 0 0,1-1 0 0 0,-1 0 0 0 0,0 0 0 0 0,1 1 1 0 0,-1-1-1 0 0,1 0 0 0 0,-1 0 0 0 0,1 0 0 0 0,-1 1 0 0 0,1-1 1 0 0,0 0-1 0 0,-1 0 0 0 0,1 0 0 0 0,0 0 0 0 0,0 0 0 0 0,-1 0 1 0 0,1 0-1 0 0,0 0 0 0 0,0 0 0 0 0,0-1 0 0 0,0-17-82 0 0,0 18 95 0 0,1-18-90 0 0,1 0 0 0 0,0 0 1 0 0,2 0-1 0 0,0 0 0 0 0,1 1 0 0 0,8-21 0 0 0,51-101-382 0 0,-55 122 437 0 0,9-18-13 0 0,7-12 66 0 0,-2-2-1 0 0,25-76 0 0 0,-24 55 200 0 0,-24 69-261 0 0,-19 5 25 0 0,12 0 27 0 0,-14 21-16 0 0,13-11-20 0 0,4-9 15 0 0,1-2 3 0 0,1 1 0 0 0,0 0-1 0 0,0 0 1 0 0,0 0-1 0 0,0 0 1 0 0,0 1 0 0 0,0-1-1 0 0,1 0 1 0 0,-1 1-1 0 0,1-1 1 0 0,0 1 0 0 0,0 4-1 0 0,0-7 15 0 0,0 1-2 0 0,1-1 0 0 0,0 0 0 0 0,-1 1 0 0 0,1-1-1 0 0,0 0 1 0 0,-1 1 0 0 0,1-1 0 0 0,0 1 0 0 0,0-1 0 0 0,0 0 0 0 0,0 1 0 0 0,0-1 0 0 0,0 0 0 0 0,1 1 0 0 0,-1-1 0 0 0,0 1 0 0 0,1-1 0 0 0,-1 0 0 0 0,1 0 0 0 0,-1 1 0 0 0,2 1 0 0 0,11 9 23 0 0,4-1-1 0 0,11 1 33 0 0,-22-10-68 0 0,-1 0 0 0 0,1 0 0 0 0,-1 0 0 0 0,0 1 0 0 0,0 0 0 0 0,0 0 0 0 0,0 0 0 0 0,0 1 0 0 0,0 0 0 0 0,-1 0 1 0 0,7 7-1 0 0,-10-10 14 0 0,-1 0 0 0 0,0 0 0 0 0,1 0 0 0 0,-1 0 0 0 0,0 1 0 0 0,0-1 0 0 0,0 0 0 0 0,0 0 0 0 0,0 0 0 0 0,0 0 0 0 0,0 0 0 0 0,0 0 0 0 0,0 0 0 0 0,0 0 0 0 0,0 0 0 0 0,-1 0 0 0 0,1 0 0 0 0,-1 0 0 0 0,1 0 0 0 0,0 0 0 0 0,-1 0 0 0 0,0 0 0 0 0,1 0 0 0 0,-2 1 0 0 0,-19 22-1167 0 0,19-22 517 0 0,-29 25-904 0 0,17-17-3096 0 0,-3 0-5592 0 0,-8 5 2170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11.770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146 396 1972 0 0,'3'-5'18574'0'0,"-14"20"-15551"0"0,-19 28-736 0 0,-21 26-2817 0 0,33-46-4499 0 0,2-3-6483 0 0</inkml:trace>
  <inkml:trace contextRef="#ctx0" brushRef="#br0" timeOffset="279.2">0 388 372 0 0,'0'0'1786'0'0,"0"-3"-62"0"0,1-2 674 0 0,5 1 7688 0 0,4 6-2477 0 0,-1 5-9615 0 0,85 106 7836 0 0,-64-71-7215 0 0,-28-39 806 0 0,10 10-1587 0 0,-5-2 723 0 0</inkml:trace>
  <inkml:trace contextRef="#ctx0" brushRef="#br0" timeOffset="637.28">126 380 1140 0 0,'0'-4'14304'0'0,"0"4"-14062"0"0,-7 10 3662 0 0,-16 25-4172 0 0,10-14-72 0 0,7-10-397 0 0,0 4-6500 0 0,3-8 3368 0 0</inkml:trace>
  <inkml:trace contextRef="#ctx0" brushRef="#br0" timeOffset="1363.58">483 342 468 0 0,'0'0'6171'0'0,"1"-1"-3389"0"0,0-9 8345 0 0,-31 168-3140 0 0,29-157-7908 0 0,1 0 82 0 0,0 0 1 0 0,0 1-1 0 0,0-1 0 0 0,0 0 0 0 0,-1 1 1 0 0,1-1-1 0 0,-1 0 0 0 0,1 1 1 0 0,-1-1-1 0 0,1 0 0 0 0,-1 0 0 0 0,0 1 1 0 0,0-1-1 0 0,0 0 0 0 0,1 0 1 0 0,-1 0-1 0 0,0 0 0 0 0,0 0 0 0 0,0 0 1 0 0,-2 1-1 0 0,2-3-136 0 0,-1 0-1 0 0,1 0 1 0 0,0-1 0 0 0,-1 1-1 0 0,1 0 1 0 0,0 0 0 0 0,0-1 0 0 0,0 1-1 0 0,0-1 1 0 0,1 1 0 0 0,-1-1-1 0 0,0 1 1 0 0,0-1 0 0 0,1 1 0 0 0,-1-1-1 0 0,1 0 1 0 0,0 1 0 0 0,-1-3-1 0 0,-7-33 273 0 0,5 3-297 0 0,2 0 0 0 0,1 0 0 0 0,1 0 0 0 0,2 0 0 0 0,2 0 0 0 0,1 1 0 0 0,1-1 0 0 0,2 2 0 0 0,13-34 0 0 0,-20 61 0 0 0,11-19 0 0 0,1 6 0 0 0,3 5 0 0 0,-15 12-1 0 0,0 0 1 0 0,0 1-1 0 0,0-1 1 0 0,0 1-1 0 0,0-1 1 0 0,0 1-1 0 0,0 0 1 0 0,0-1-1 0 0,3 1 1 0 0,-4 1-29 0 0,1-1 1 0 0,0 0-1 0 0,0 1 1 0 0,0-1-1 0 0,-1 1 0 0 0,1-1 1 0 0,0 1-1 0 0,0 0 1 0 0,-1 0-1 0 0,1 0 1 0 0,-1 0-1 0 0,1 0 1 0 0,-1 0-1 0 0,1 0 1 0 0,-1 1-1 0 0,0-1 1 0 0,0 1-1 0 0,1-1 1 0 0,-1 0-1 0 0,0 1 1 0 0,0 0-1 0 0,0-1 1 0 0,-1 1-1 0 0,1 0 0 0 0,0-1 1 0 0,-1 1-1 0 0,1 0 1 0 0,-1 0-1 0 0,1 0 1 0 0,-1-1-1 0 0,0 1 1 0 0,0 3-1 0 0,-2 7-102 0 0,-1 0 1 0 0,0 0-1 0 0,-1-1 0 0 0,0 1 0 0 0,-1-1 0 0 0,0 0 1 0 0,-9 14-1 0 0,-52 74-1069 0 0,57-86 1015 0 0,7-10 73 0 0,-13 25-1246 0 0,14-26 1496 0 0,6 28 541 0 0,-3-21-593 0 0,0 0 0 0 0,1 1 0 0 0,0-1 0 0 0,8 15 0 0 0,-8-18-644 0 0,1 1 0 0 0,0-1 0 0 0,0 0 0 0 0,0 0 0 0 0,11 9 0 0 0,-13-13-480 0 0,2 0-245 0 0,4 3 1127 0 0,20 10-14116 0 0</inkml:trace>
  <inkml:trace contextRef="#ctx0" brushRef="#br0" timeOffset="1803.74">670 412 64 0 0,'0'0'19042'0'0,"2"-2"-18460"0"0,-1 0-339 0 0,1 0 0 0 0,0 0 0 0 0,0 1 0 0 0,-1-1 0 0 0,1 1 0 0 0,0 0 0 0 0,0-1 0 0 0,0 1 0 0 0,0 0 0 0 0,4-2 0 0 0,-2 2-18 0 0,-1-1-1 0 0,0 1 1 0 0,1-1-1 0 0,-1 0 1 0 0,0 0-1 0 0,4-4 1 0 0,0-1 643 0 0,-1 1 0 0 0,0-1 1 0 0,9-15-1 0 0,-13 20-617 0 0,0 0 1 0 0,-1 0-1 0 0,0-1 1 0 0,1 1-1 0 0,-1-1 1 0 0,0 1-1 0 0,0-1 1 0 0,-1 1-1 0 0,1-1 0 0 0,0 1 1 0 0,-1-1-1 0 0,0 0 1 0 0,1 1-1 0 0,-1-1 1 0 0,0 0-1 0 0,0 1 1 0 0,-1-1-1 0 0,1 0 0 0 0,-1 1 1 0 0,0-4-1 0 0,1 6-247 0 0,-1-1 0 0 0,1 0 0 0 0,0 1-1 0 0,0-1 1 0 0,-1 1 0 0 0,1-1 0 0 0,0 1-1 0 0,-1-1 1 0 0,1 1 0 0 0,-1 0 0 0 0,1-1 0 0 0,-1 1-1 0 0,1-1 1 0 0,-1 1 0 0 0,1 0 0 0 0,-1-1-1 0 0,1 1 1 0 0,-1 0 0 0 0,0-1 0 0 0,-1 1-4 0 0,0 0 1 0 0,1 0-1 0 0,-1 0 0 0 0,0 1 1 0 0,1-1-1 0 0,-1 0 1 0 0,0 1-1 0 0,1-1 1 0 0,-1 1-1 0 0,0-1 1 0 0,-1 2-1 0 0,-13 9 0 0 0,2 2 0 0 0,1 3 0 0 0,2 2 0 0 0,1 1 0 0 0,3 0 0 0 0,4-1 0 0 0,2 6 14 0 0,3-19-25 0 0,0-2-61 0 0,-1-2-93 0 0,-1 1 0 0 0,1-1 1 0 0,0 0-1 0 0,0 1 0 0 0,0-1 0 0 0,0 0 0 0 0,0 0 0 0 0,0 1 0 0 0,0-1 0 0 0,0 0 0 0 0,0 0 0 0 0,1 0 0 0 0,-1-1 0 0 0,0 1 0 0 0,1 0 1 0 0,-1 0-1 0 0,3 0 0 0 0,1 1-847 0 0,0 0 0 0 0,-1-1 1 0 0,1 0-1 0 0,0 0 0 0 0,6 1 1 0 0,-6-1-985 0 0,4-1-910 0 0,5 0-5628 0 0,10-2 166 0 0</inkml:trace>
  <inkml:trace contextRef="#ctx0" brushRef="#br0" timeOffset="2087.66">990 325 1112 0 0,'1'-10'2539'0'0,"-1"5"2365"0"0,0 5-4746 0 0,0 0 0 0 0,1 0 1 0 0,-1-1-1 0 0,0 1 0 0 0,0 0 0 0 0,0 0 0 0 0,0-1 0 0 0,0 1 0 0 0,0 0 0 0 0,0 0 0 0 0,0-1 0 0 0,0 1 0 0 0,0 0 0 0 0,-1 0 0 0 0,1 0 0 0 0,0-1 0 0 0,0 1 0 0 0,0 0 0 0 0,0 0 0 0 0,0-1 0 0 0,0 1 0 0 0,0 0 0 0 0,-1 0 0 0 0,1 0 0 0 0,0 0 0 0 0,0-1 0 0 0,0 1 0 0 0,0 0 0 0 0,-1 0 0 0 0,1 0 0 0 0,0 0 0 0 0,0 0 0 0 0,0-1 0 0 0,-1 1 0 0 0,1 0 0 0 0,0 0 0 0 0,0 0 0 0 0,-1 0 0 0 0,1 0 0 0 0,0 0 0 0 0,0 0 0 0 0,0 0 1 0 0,-1 0-1 0 0,-10 5 6797 0 0,8-4-8890 0 0,-1 1 2509 0 0,2 2-42 0 0,-2 5-441 0 0,0 1 0 0 0,0 0 0 0 0,1 0 0 0 0,0 0 0 0 0,1 1 0 0 0,0-1 0 0 0,0 19 0 0 0,3-21-1287 0 0,0-7 85 0 0,0 1 1 0 0,0 0 0 0 0,0-1-1 0 0,0 1 1 0 0,0-1 0 0 0,0 0-1 0 0,0 1 1 0 0,1-1 0 0 0,-1 0-1 0 0,0 1 1 0 0,3 0 0 0 0,-2-1 1365 0 0</inkml:trace>
  <inkml:trace contextRef="#ctx0" brushRef="#br0" timeOffset="2635.24">1077 411 288 0 0,'0'0'6848'0'0,"0"-10"-5197"0"0,4 5 5604 0 0,11 0-6767 0 0,-11 4 786 0 0,-1-1-886 0 0,9-5 10 0 0,-9 5 10 0 0,0 0 22 0 0,18-18 1667 0 0,-19 18-1517 0 0,6-15 1253 0 0,-7 15-1264 0 0,1-18 1622 0 0,-3 19-2119 0 0,1 1 0 0 0,0-1-1 0 0,0 1 1 0 0,-1-1 0 0 0,1 0 0 0 0,0 1 0 0 0,-1-1-1 0 0,1 0 1 0 0,-1 1 0 0 0,1-1 0 0 0,-1 1 0 0 0,1-1-1 0 0,-1 1 1 0 0,1 0 0 0 0,-1-1 0 0 0,1 1 0 0 0,-1-1-1 0 0,0 1 1 0 0,1 0 0 0 0,-1-1 0 0 0,1 1 0 0 0,-1 0-1 0 0,0 0 1 0 0,1 0 0 0 0,-1-1 0 0 0,0 1 0 0 0,0 0-1 0 0,1 0 1 0 0,-1 0 0 0 0,0 0 0 0 0,1 0 0 0 0,-2 0-1 0 0,-1 2-3 0 0,0 0 0 0 0,1 0 0 0 0,-1 0 0 0 0,1 1 0 0 0,-1-1 0 0 0,1 1-1 0 0,-3 3 1 0 0,3-4-11 0 0,-1 2-41 0 0,0 0 1 0 0,0 0 0 0 0,1 0 0 0 0,0 0-1 0 0,0 1 1 0 0,0-1 0 0 0,0 1 0 0 0,0-1-1 0 0,1 1 1 0 0,-1 9 0 0 0,2-9-102 0 0,2 26-660 0 0,-1-29 704 0 0,-1-1 1 0 0,1 0-1 0 0,-1 0 1 0 0,1 1-1 0 0,0-1 1 0 0,-1 0-1 0 0,1 0 1 0 0,0 0 0 0 0,0 0-1 0 0,0 0 1 0 0,-1 0-1 0 0,1 0 1 0 0,0 0-1 0 0,1 0 1 0 0,-1 0-1 0 0,0-1 1 0 0,0 1-1 0 0,0 0 1 0 0,0-1-1 0 0,0 1 1 0 0,1-1-1 0 0,-1 1 1 0 0,2-1-1 0 0,4 1-77 0 0,-1 0 0 0 0,1-1 0 0 0,-1 0 0 0 0,11-1 0 0 0,-12 0 1 0 0,-1 0 5 0 0,-3 1 117 0 0,4-1 46 0 0,0-1 0 0 0,-1 1 0 0 0,1-1 0 0 0,0 0 0 0 0,-1 0 0 0 0,0 0-1 0 0,1-1 1 0 0,-1 0 0 0 0,0 1 0 0 0,0-2 0 0 0,0 1 0 0 0,-1 0 0 0 0,1-1 0 0 0,5-7 0 0 0,23-55 3670 0 0,-31 63-3300 0 0,0-2-201 0 0,1 1 52 0 0,-5 30-138 0 0,-4 14-1151 0 0,3 4-3268 0 0,4-42 3176 0 0,1 11-1638 0 0</inkml:trace>
  <inkml:trace contextRef="#ctx0" brushRef="#br0" timeOffset="2939.26">1261 232 100 0 0,'0'0'2424'0'0,"-3"-14"300"0"0,2 1-4608 0 0</inkml:trace>
  <inkml:trace contextRef="#ctx0" brushRef="#br0" timeOffset="3208.56">1358 228 1956 0 0,'0'0'12264'0'0,"4"1"-11084"0"0,15 4 1782 0 0,-14 15-697 0 0,-1-10-1820 0 0,0 0 0 0 0,1 0 0 0 0,1 0 0 0 0,-1-1 0 0 0,8 9 0 0 0,-11-16-331 0 0,1 1-9 0 0,27 16 494 0 0,-26-18-98 0 0,-1-2-340 0 0,-1 0-227 0 0,0 0-1 0 0,0 0 1 0 0,0 0 0 0 0,0 0 0 0 0,0 0-1 0 0,-1 0 1 0 0,1-1 0 0 0,0 1 0 0 0,-1-1-1 0 0,1 1 1 0 0,-1-1 0 0 0,0 1 0 0 0,1-1-1 0 0,-1 0 1 0 0,0 0 0 0 0,0 0 0 0 0,0 0-1 0 0,0 0 1 0 0,-1 0 0 0 0,1 0-1 0 0,0 0 1 0 0,-1 0 0 0 0,1 0 0 0 0,-1 0-1 0 0,0 0 1 0 0,0 0 0 0 0,0-1 0 0 0,0-1-1 0 0,1-13-1763 0 0,0 10-2721 0 0</inkml:trace>
  <inkml:trace contextRef="#ctx0" brushRef="#br0" timeOffset="4980.88">1499 324 496 0 0,'0'0'13375'0'0,"2"-2"-12627"0"0,3-15 1374 0 0,-4 8 2890 0 0,-1 9-5005 0 0,0 0-1 0 0,0 0 1 0 0,0 1 0 0 0,0-1 0 0 0,0 0 0 0 0,0 0 0 0 0,0 1 0 0 0,-1-1-1 0 0,1 0 1 0 0,0 0 0 0 0,0 1 0 0 0,0-1 0 0 0,-1 0 0 0 0,1 0 0 0 0,0 0 0 0 0,0 0-1 0 0,-1 1 1 0 0,1-1 0 0 0,0 0 0 0 0,0 0 0 0 0,-1 0 0 0 0,1 0 0 0 0,0 0-1 0 0,-1 0 1 0 0,1 0 0 0 0,0 0 0 0 0,0 0 0 0 0,-1 0 0 0 0,1 0 0 0 0,0 0 0 0 0,-1 0-1 0 0,1 0 1 0 0,-1 0 5 0 0,1 0-1 0 0,-1 0 0 0 0,1 0 0 0 0,-1 0 0 0 0,1 0 1 0 0,-1 0-1 0 0,1 1 0 0 0,-1-1 0 0 0,1 0 1 0 0,-1 0-1 0 0,1 0 0 0 0,-1 1 0 0 0,1-1 0 0 0,-1 0 1 0 0,1 0-1 0 0,0 1 0 0 0,-1-1 0 0 0,1 0 1 0 0,-1 1-1 0 0,1-1 0 0 0,0 0 0 0 0,-1 1 0 0 0,1-1 1 0 0,0 1-1 0 0,0-1 0 0 0,-1 1 0 0 0,1-1 1 0 0,0 0-1 0 0,0 1 0 0 0,-13 28 348 0 0,11-27-291 0 0,2 1-14 0 0,-3 23 111 0 0,3-23 312 0 0,4-3-392 0 0,17 0 203 0 0,-19-2-193 0 0,27-14 344 0 0,-26 14-343 0 0,-1 4-156 0 0,5 6 7 0 0,-5-6-15 0 0,0 0-211 0 0,4 8 177 0 0,-4-7-9 0 0,0-1-233 0 0,0-2 328 0 0,0 1 0 0 0,-1 0-1 0 0,1-1 1 0 0,0 1-1 0 0,0-1 1 0 0,-1 1-1 0 0,1-1 1 0 0,0 0-1 0 0,0 0 1 0 0,0 0 0 0 0,-1 0-1 0 0,1 0 1 0 0,0 0-1 0 0,0-1 1 0 0,0 1-1 0 0,-1 0 1 0 0,4-2-1 0 0,-1 1-23 0 0,-1-1 9 0 0,0-1 54 0 0,1 0 1 0 0,-1 0-1 0 0,0 0 0 0 0,0-1 1 0 0,0 1-1 0 0,0-1 0 0 0,0 0 1 0 0,-1 0-1 0 0,1 0 0 0 0,1-4 1 0 0,1-11 430 0 0,0-1 0 0 0,0 1 0 0 0,-2-1 0 0 0,-1 0 0 0 0,0 0 0 0 0,-2-25 0 0 0,1 12 1088 0 0,4-34 0 0 0,-7 25-185 0 0,2 39-1113 0 0,-7-6 727 0 0,6 9-958 0 0,1 0 0 0 0,0 0-1 0 0,-1 0 1 0 0,1 0 0 0 0,-1 1-1 0 0,1-1 1 0 0,-1 0 0 0 0,1 1-1 0 0,-1-1 1 0 0,1 0 0 0 0,0 1-1 0 0,-1-1 1 0 0,1 0 0 0 0,0 1 0 0 0,-1-1-1 0 0,1 1 1 0 0,0-1 0 0 0,0 0-1 0 0,-1 1 1 0 0,1-1 0 0 0,0 1-1 0 0,0-1 1 0 0,0 1 0 0 0,-1-1-1 0 0,1 1 1 0 0,0-1 0 0 0,0 1-1 0 0,0-1 1 0 0,0 1 0 0 0,0-1-1 0 0,0 1 1 0 0,0 0 0 0 0,-10 59-1099 0 0,3 1 1 0 0,-1 111 0 0 0,8-170 993 0 0,20-2-412 0 0,-16 0 427 0 0,-1-2 14 0 0,27-19-142 0 0,-27 19 152 0 0,14-7-222 0 0,2 3 147 0 0,-15 5 65 0 0,0 2-39 0 0,-2-1 93 0 0,-1 1-1 0 0,1-1 1 0 0,0 1 0 0 0,0 0-1 0 0,-1 0 1 0 0,1 0 0 0 0,-1 0 0 0 0,1 0-1 0 0,-1 0 1 0 0,1 0 0 0 0,-1 0 0 0 0,1 1-1 0 0,-1-1 1 0 0,0 0 0 0 0,0 1-1 0 0,0-1 1 0 0,0 1 0 0 0,0-1 0 0 0,0 1-1 0 0,0 0 1 0 0,0 0 0 0 0,-1-1-1 0 0,1 1 1 0 0,-1 0 0 0 0,1 0 0 0 0,-1-1-1 0 0,0 1 1 0 0,0 0 0 0 0,1 0 0 0 0,-1 0-1 0 0,-1 0 1 0 0,1 0 0 0 0,0-1-1 0 0,0 1 1 0 0,-1 3 0 0 0,-2 1-94 0 0,1 0-1 0 0,-1-1 1 0 0,-1 1-1 0 0,1 0 1 0 0,-1-1 0 0 0,0 0-1 0 0,0 0 1 0 0,0 0 0 0 0,-1 0-1 0 0,0-1 1 0 0,-7 6 0 0 0,9-7 1 0 0,0-1 19 0 0,-10 6 24 0 0,10-5 13 0 0,-1-2 24 0 0,2-1 38 0 0,1 0-4 0 0,0 0 1 0 0,0 0-1 0 0,-1 0 1 0 0,1 0-1 0 0,0 0 1 0 0,0 0 0 0 0,-1 1-1 0 0,1-1 1 0 0,0 1-1 0 0,0-1 1 0 0,0 1-1 0 0,-2 0 1 0 0,-6-5-81 0 0,5-1 1949 0 0,23 8-1876 0 0,-15-2 4 0 0,0 0 0 0 0,35 3 55 0 0,-35-5-44 0 0,1 0-1 0 0,0 0-5 0 0,0-1-1 0 0,0 0 1 0 0,0 0-1 0 0,0 0 1 0 0,0 0 0 0 0,0-1-1 0 0,0 0 1 0 0,-1 0 0 0 0,0-1-1 0 0,1 1 1 0 0,5-8 0 0 0,-2 2 25 0 0,-1 0 0 0 0,0-1 0 0 0,0 0 0 0 0,9-21 0 0 0,4-17 128 0 0,-3-1 0 0 0,20-83-1 0 0,-20 63 352 0 0,-14 51-469 0 0,-3 15 104 0 0,-1 3-148 0 0,0 1-1 0 0,-1-1 0 0 0,1 1 1 0 0,0 0-1 0 0,-1-1 0 0 0,1 1 0 0 0,0 0 1 0 0,0 0-1 0 0,0 0 0 0 0,0 0 1 0 0,0 0-1 0 0,0 0 0 0 0,0 0 0 0 0,0 0 1 0 0,0 0-1 0 0,0 0 0 0 0,1 1 1 0 0,-1-1-1 0 0,0 0 0 0 0,1 1 1 0 0,-1 0-1 0 0,-14 37 55 0 0,13-32-48 0 0,-5 15-107 0 0,1 0 0 0 0,2 1 0 0 0,0 0 0 0 0,-1 28 0 0 0,4-39-92 0 0,1-1 0 0 0,0 1 0 0 0,1 0 0 0 0,0-1 0 0 0,1 1 0 0 0,0-1 0 0 0,1 0 0 0 0,0 1 0 0 0,1-1 0 0 0,5 11 0 0 0,-6-17 46 0 0,1 0-1 0 0,-1 1 1 0 0,1-2-1 0 0,7 9 1 0 0,-9-11-2 0 0,0-2 127 0 0,-1 0 0 0 0,0 0 0 0 0,1 1 0 0 0,-1-1 0 0 0,0 0 0 0 0,0 1 0 0 0,1-1 0 0 0,-1 1 0 0 0,0-1-1 0 0,0 1 1 0 0,2 1 0 0 0,1 0-14 0 0,0 0-52 0 0,0-2-6 0 0,12-1 16 0 0,-11 1 17 0 0,-1-2 14 0 0,-4 2 47 0 0,6-3 45 0 0,-1 1 1 0 0,1-1 0 0 0,-1 0 0 0 0,0 0 0 0 0,0-1 0 0 0,0 0-1 0 0,-1 1 1 0 0,0-1 0 0 0,1-1 0 0 0,-1 1 0 0 0,0-1 0 0 0,5-8-1 0 0,14-26 1714 0 0,-22 37-1439 0 0,6-12 1781 0 0,-11 21-2050 0 0,1 1 0 0 0,0-1-1 0 0,1 1 1 0 0,0 0 0 0 0,0 0 0 0 0,1 0 0 0 0,0 0 0 0 0,0 0 0 0 0,1 0 0 0 0,0 11 0 0 0,0-17-55 0 0,0 0 1 0 0,0-1-1 0 0,0 1 1 0 0,1 0 0 0 0,-1 0-1 0 0,0 0 1 0 0,1 0-1 0 0,-1 0 1 0 0,1-1 0 0 0,0 1-1 0 0,0 0 1 0 0,0 0-1 0 0,0-1 1 0 0,0 1 0 0 0,0-1-1 0 0,0 1 1 0 0,0-1 0 0 0,1 1-1 0 0,-1-1 1 0 0,0 0-1 0 0,1 1 1 0 0,-1-1 0 0 0,1 0-1 0 0,0 0 1 0 0,-1 0-1 0 0,1 0 1 0 0,0-1 0 0 0,-1 1-1 0 0,1 0 1 0 0,0-1-1 0 0,0 1 1 0 0,0-1 0 0 0,0 0-1 0 0,0 1 1 0 0,2-1 0 0 0,0 1 18 0 0,0-3 4 0 0,3-1-4 0 0,-1 0 0 0 0,0 0 0 0 0,1-1 0 0 0,-2 1 0 0 0,1-2 1 0 0,0 1-1 0 0,8-8 0 0 0,-4-3 99 0 0,0 1 0 0 0,-1-2 1 0 0,0 1-1 0 0,-1-1 0 0 0,-1 0 0 0 0,-1 0 0 0 0,0-1 1 0 0,-1 0-1 0 0,4-23 0 0 0,-9 35-54 0 0,-2-7-39 0 0,2 11-26 0 0,-1 0 0 0 0,1 0 0 0 0,0 1 0 0 0,-1-1 1 0 0,1 0-1 0 0,-1 1 0 0 0,1-1 0 0 0,-1 0 0 0 0,1 1 1 0 0,-1-1-1 0 0,1 0 0 0 0,-1 1 0 0 0,0-1 0 0 0,1 1 1 0 0,-1-1-1 0 0,-1 0 0 0 0,1 1-1 0 0,0-1 1 0 0,0 1-1 0 0,1 0 1 0 0,-1-1-1 0 0,0 1 0 0 0,0 0 1 0 0,0 0-1 0 0,0 0 1 0 0,0 0-1 0 0,0 0 1 0 0,0 0-1 0 0,0 0 0 0 0,0 0 1 0 0,0 0-1 0 0,0 0 1 0 0,-2 1-1 0 0,2 0-3 0 0,1-1 1 0 0,-1 1-1 0 0,0-1 0 0 0,1 1 1 0 0,-1-1-1 0 0,0 1 0 0 0,1 0 0 0 0,-1 0 1 0 0,1-1-1 0 0,-1 1 0 0 0,1 0 1 0 0,-1 0-1 0 0,1-1 0 0 0,-1 2 1 0 0,0 1-87 0 0,13 27-388 0 0,-7-21 214 0 0,1 0 0 0 0,0 0 1 0 0,11 11-1 0 0,0-1-302 0 0,-8-7-121 0 0,-1 0 0 0 0,-1 0 0 0 0,12 26 0 0 0,-18-36 569 0 0,-1-1 0 0 0,0 1 0 0 0,1 0 0 0 0,-1 0 0 0 0,0 0 0 0 0,0 0 0 0 0,0-1 0 0 0,0 1 0 0 0,0 0 0 0 0,0 0 0 0 0,-1 0 0 0 0,1-1 0 0 0,0 1 0 0 0,-1 0 0 0 0,0 0 0 0 0,1-1 0 0 0,-1 1 0 0 0,0 0 1 0 0,0-1-1 0 0,0 1 0 0 0,0-1 0 0 0,0 1 0 0 0,-2 1 0 0 0,0 1-561 0 0,-1 0 0 0 0,0-1 1 0 0,0 1-1 0 0,-8 4 1 0 0,10-7 287 0 0,-11 7-7270 0 0,3-3 5375 0 0,3-3 281 0 0,2 0-5337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10.051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249 177 1656 0 0,'0'0'6471'0'0,"4"0"-5054"0"0,11 0-50 0 0,-11 1 4954 0 0,-3-4-5142 0 0,-1 2-767 0 0,0-1 1 0 0,0 1-1 0 0,0-1 0 0 0,0 1 1 0 0,0-1-1 0 0,-1 1 0 0 0,1-1 1 0 0,-1 1-1 0 0,1-1 0 0 0,-1 1 1 0 0,1 0-1 0 0,-1-1 1 0 0,0 1-1 0 0,1 0 0 0 0,-1 0 1 0 0,0-1-1 0 0,0 1 0 0 0,0 0 1 0 0,0 0-1 0 0,0 0 0 0 0,-2-1 1 0 0,-3-4-678 0 0,3 4 1430 0 0,-1 0-667 0 0,-12-4-50 0 0,12 5-26 0 0,0 1-36 0 0,-5 2-138 0 0,-1-1 0 0 0,1 1 0 0 0,0 1-1 0 0,0 0 1 0 0,0 0 0 0 0,-10 5 0 0 0,18-7-236 0 0,-15 7 279 0 0,1 0 0 0 0,-14 12 0 0 0,17-9-281 0 0,1 2-10 0 0,4 0 0 0 0,4 0 0 0 0,8 1 0 0 0,9 2 0 0 0,3-5 0 0 0,30 12-160 0 0,22 20-882 0 0,-66-41 961 0 0,-2 1 14 0 0,5 10 17 0 0,-6-11 52 0 0,0-1-1 0 0,-1 0 1 0 0,1 1 0 0 0,0-1-1 0 0,0 0 1 0 0,-1 0 0 0 0,1 1 0 0 0,0-1-1 0 0,-1 0 1 0 0,1 0 0 0 0,-1 0 0 0 0,0 0-1 0 0,1 0 1 0 0,-1 0 0 0 0,0 0-1 0 0,0 0 1 0 0,0 0 0 0 0,-1 2 0 0 0,-27 16-24 0 0,-28 5-248 0 0,53-23 173 0 0,-40 13-1470 0 0,3 0-1101 0 0,38-13 1446 0 0,-2 0-1378 0 0,-12 4-4013 0 0,13-4 212 0 0</inkml:trace>
  <inkml:trace contextRef="#ctx0" brushRef="#br0" timeOffset="1362.74">277 355 1616 0 0,'0'0'5555'0'0,"2"-2"-3809"0"0,-2 1-2411 0 0,9-12 6464 0 0,-9 13-5561 0 0,0-1 0 0 0,0 1 0 0 0,0 0 0 0 0,1 0 0 0 0,-1 0 0 0 0,0-1 0 0 0,0 1 0 0 0,0 0 0 0 0,0 0 0 0 0,0-1 0 0 0,0 1 0 0 0,0 0 0 0 0,0 0 0 0 0,1-1 0 0 0,-1 1 0 0 0,0 0 0 0 0,0 0 0 0 0,0-1 0 0 0,0 1 1 0 0,0 0-1 0 0,0 0 0 0 0,0-1 0 0 0,0 1 0 0 0,-1 0 0 0 0,1 0 0 0 0,0-1 0 0 0,0 1 0 0 0,0 0 0 0 0,0 0 0 0 0,0-1 0 0 0,0 1 0 0 0,0 0 0 0 0,0 0 0 0 0,-1 0 0 0 0,1-1 0 0 0,0 1 0 0 0,0 0 0 0 0,0 0 0 0 0,-1 0 0 0 0,1-1 0 0 0,0 1 0 0 0,0 0 0 0 0,0 0 0 0 0,-1 0 0 0 0,1 0 0 0 0,0 0 0 0 0,0 0 0 0 0,-1 0 0 0 0,1 0 0 0 0,0-1 0 0 0,0 1 0 0 0,-1 0 0 0 0,1 0 0 0 0,-1 0 0 0 0,-15 0 156 0 0,12 0-39 0 0,-9 13 501 0 0,11-10-747 0 0,0 0 0 0 0,0 0 0 0 0,0 0 0 0 0,0 0 0 0 0,1 0 0 0 0,0 0 0 0 0,-2 6 0 0 0,1-6 16 0 0,-6 29-257 0 0,10-28 56 0 0,-2-3 71 0 0,0-1 1 0 0,0 0 0 0 0,0 0 0 0 0,0 1 0 0 0,0-1-1 0 0,0 0 1 0 0,0 1 0 0 0,0-1 0 0 0,0 0 0 0 0,0 0-1 0 0,0 1 1 0 0,0-1 0 0 0,0 0 0 0 0,0 1 0 0 0,0-1-1 0 0,0 0 1 0 0,1 0 0 0 0,-1 1 0 0 0,0-1 0 0 0,0 0-1 0 0,0 0 1 0 0,0 0 0 0 0,1 1 0 0 0,-1-1 0 0 0,0 0-1 0 0,0 0 1 0 0,0 0 0 0 0,1 1 0 0 0,-1-1 0 0 0,0 0-1 0 0,0 0 1 0 0,1 0 0 0 0,-1 0 0 0 0,0 0 0 0 0,0 0 0 0 0,1 0-1 0 0,-1 1 1 0 0,0-1 0 0 0,1 0 0 0 0,-1 0 0 0 0,1 0-1 0 0,14-4-31 0 0,-12 3 12 0 0,0-1 14 0 0,0 0 0 0 0,0 0 0 0 0,0 0 1 0 0,-1 0-1 0 0,1 0 0 0 0,-1 0 1 0 0,1-1-1 0 0,2-3 0 0 0,-4 5 6 0 0,32-39 701 0 0,-31 38-436 0 0,9-14 878 0 0,-5 11-664 0 0,-8 15 268 0 0,-1 3-864 0 0,2-10 3 0 0,3 15-552 0 0,0-7 386 0 0,-3-10 244 0 0,1-1 0 0 0,0 1-1 0 0,1-1 1 0 0,-1 1-1 0 0,0-1 1 0 0,0 1 0 0 0,0-1-1 0 0,0 1 1 0 0,0-1 0 0 0,0 1-1 0 0,1-1 1 0 0,-1 1-1 0 0,0-1 1 0 0,0 1 0 0 0,1-1-1 0 0,-1 1 1 0 0,0-1-1 0 0,1 0 1 0 0,-1 1 0 0 0,0-1-1 0 0,1 1 1 0 0,-1-1-1 0 0,1 0 1 0 0,-1 0 0 0 0,1 1-1 0 0,-1-1 1 0 0,1 0-1 0 0,0 1 1 0 0,16-6-34 0 0,-13 4-8 0 0,-1-2 27 0 0,4-4 10 0 0,0-1 0 0 0,-1 0 0 0 0,0-1 1 0 0,7-13-1 0 0,-1-4 18 0 0,-2 0 0 0 0,14-54 0 0 0,4-61 519 0 0,-20 98 117 0 0,-7 43-599 0 0,-1-1 0 0 0,0 1 0 0 0,0-1 1 0 0,0 1-1 0 0,1 0 0 0 0,-1-1 0 0 0,0 1 0 0 0,0-1 1 0 0,0 1-1 0 0,0-1 0 0 0,0 1 0 0 0,0 0 0 0 0,0-1 1 0 0,0 1-1 0 0,0-1 0 0 0,0 1 0 0 0,0-1 0 0 0,0 1 1 0 0,0 0-1 0 0,-1-1 0 0 0,1 1 0 0 0,0-1 0 0 0,0 1 1 0 0,0-1-1 0 0,0 1 0 0 0,-1 0 0 0 0,1-1 0 0 0,0 1 1 0 0,-1 0-1 0 0,1-1 0 0 0,0 1 0 0 0,0 0 0 0 0,-1-1 1 0 0,1 1-1 0 0,-1 0 0 0 0,1 0 0 0 0,0-1 0 0 0,-1 1 1 0 0,1 0-1 0 0,0 0 0 0 0,-1 0 0 0 0,1 0 0 0 0,-1-1 0 0 0,1 1 1 0 0,-1 0-1 0 0,1 0 0 0 0,-1 0 0 0 0,1 0 0 0 0,0 0 1 0 0,-1 0-1 0 0,1 0 0 0 0,-1 0 0 0 0,1 0 0 0 0,-1 0 1 0 0,1 1-1 0 0,0-1 0 0 0,-1 0 0 0 0,1 0 0 0 0,-1 0 1 0 0,1 0-1 0 0,0 1 0 0 0,-1-1 0 0 0,1 0 0 0 0,-1 0 1 0 0,1 1-1 0 0,0-1 0 0 0,-1 1 0 0 0,-2 0-77 0 0,3-1 70 0 0,-1 0-1 0 0,0 1 1 0 0,0-1 0 0 0,0 1-1 0 0,1-1 1 0 0,-1 1-1 0 0,0-1 1 0 0,1 1 0 0 0,-1 0-1 0 0,0-1 1 0 0,1 1 0 0 0,-1 0-1 0 0,1-1 1 0 0,-1 1 0 0 0,1 0-1 0 0,-1 0 1 0 0,1 0 0 0 0,-1-1-1 0 0,1 1 1 0 0,0 0 0 0 0,-1 2-1 0 0,0-1 8 0 0,-9 21 16 0 0,0 1 0 0 0,1-1 0 0 0,2 2 1 0 0,0-1-1 0 0,2 1 0 0 0,0 0 0 0 0,-1 30 0 0 0,5-43-122 0 0,0 0-1 0 0,1 0 0 0 0,0 1 1 0 0,1-1-1 0 0,1 0 1 0 0,-1 0-1 0 0,6 17 0 0 0,-6-27 70 0 0,0 1 0 0 0,0-1-1 0 0,0 0 1 0 0,1 0-1 0 0,-1 0 1 0 0,1 0-1 0 0,-1 0 1 0 0,1 0 0 0 0,0 0-1 0 0,-1 0 1 0 0,1-1-1 0 0,0 1 1 0 0,0-1-1 0 0,3 2 1 0 0,-3-2 34 0 0,1 2-35 0 0,2-3-8 0 0,15-1-10 0 0,-14 1 1 0 0,-2-3 14 0 0,-4 3 34 0 0,6-3 24 0 0,-1-1 0 0 0,1 0-1 0 0,-1 0 1 0 0,0 0 0 0 0,0-1 0 0 0,-1 1 0 0 0,1-1 0 0 0,-1 0 0 0 0,0-1 0 0 0,-1 1 0 0 0,4-7 0 0 0,22-41 1776 0 0,-27 51-1609 0 0,-1-1-58 0 0,4-5-111 0 0,-9 18-25 0 0,0 6 0 0 0,1 2 0 0 0,1 0 0 0 0,2-3 0 0 0,1 0 0 0 0,4-2 0 0 0,-4-12 0 0 0,0 0 0 0 0,0 0 0 0 0,0 0 0 0 0,0 0 0 0 0,0 0 0 0 0,0 0 0 0 0,1-1 0 0 0,-1 1 0 0 0,0 0 0 0 0,0-1 0 0 0,3 2 0 0 0,-2-2 0 0 0,0 0 0 0 0,0 1 0 0 0,0-1 0 0 0,0 0 0 0 0,0 0 0 0 0,0 0 0 0 0,0 0 0 0 0,0-1 0 0 0,2 1 0 0 0,1-2-8 0 0,-1 1 0 0 0,1 0 0 0 0,-1-1-1 0 0,0 0 1 0 0,1 0 0 0 0,-1 0 0 0 0,0-1 0 0 0,0 0 0 0 0,-1 1 0 0 0,1-1-1 0 0,-1 0 1 0 0,1-1 0 0 0,2-3 0 0 0,1-1-10 0 0,0-1 0 0 0,-1 0-1 0 0,6-12 1 0 0,-1-2 110 0 0,9-34 0 0 0,-15 38-89 0 0,1 4-3 0 0,-4 2 0 0 0,-1 12 0 0 0,-1 1 0 0 0,0 0 0 0 0,0-1 0 0 0,0 1 0 0 0,0-1 0 0 0,0 1 0 0 0,0 0 0 0 0,-1-1 0 0 0,1 1 0 0 0,0 0 0 0 0,0-1 0 0 0,0 1 0 0 0,0-1 0 0 0,0 1 0 0 0,0 0 0 0 0,-1-1 0 0 0,1 1 0 0 0,0 0 0 0 0,0 0 0 0 0,0-1 0 0 0,-1 1 0 0 0,1 0 0 0 0,0-1 0 0 0,-1 1 0 0 0,1 0 0 0 0,0 0 0 0 0,-1-1 0 0 0,0 1 0 0 0,1 1 0 0 0,-1-1 0 0 0,0 0 0 0 0,1 0 0 0 0,-1 0 0 0 0,0 1 0 0 0,0-1 0 0 0,1 0 0 0 0,-1 0 0 0 0,0 1 0 0 0,1-1 0 0 0,-1 1 0 0 0,1-1 0 0 0,-1 1 0 0 0,1-1 0 0 0,-1 1 0 0 0,0 0 0 0 0,-8 14 0 0 0,5-4-5 0 0,4-9-34 0 0,1-1 1 0 0,-1 1 0 0 0,0-1 0 0 0,0 0-1 0 0,0 1 1 0 0,1-1 0 0 0,-1 0 0 0 0,1 1-1 0 0,-1-1 1 0 0,1 0 0 0 0,-1 1 0 0 0,1-1-1 0 0,0 0 1 0 0,0 0 0 0 0,0 0-1 0 0,-1 0 1 0 0,1 0 0 0 0,0 0 0 0 0,2 2-1 0 0,-2-2 54 0 0,2 1-273 0 0,0 1-17 0 0,76 34-2171 0 0,-75-35 2266 0 0,0 0 0 0 0,-1 0 1 0 0,1 0-1 0 0,-1 0 0 0 0,1 0 0 0 0,-1 1 1 0 0,0-1-1 0 0,1 1 0 0 0,-1 0 0 0 0,-1 0 1 0 0,1 0-1 0 0,0 1 0 0 0,-1-1 0 0 0,4 6 1 0 0,-6-7 120 0 0,0 0 1 0 0,0-1-1 0 0,0 1 1 0 0,0 0 0 0 0,0-1-1 0 0,0 1 1 0 0,0-1-1 0 0,0 1 1 0 0,-1 0 0 0 0,1-1-1 0 0,-1 1 1 0 0,1-1-1 0 0,-1 1 1 0 0,1-1-1 0 0,-1 1 1 0 0,0-1 0 0 0,0 1-1 0 0,0-1 1 0 0,0 0-1 0 0,-2 2 1 0 0,2-1-92 0 0,0 0 1 0 0,0 0-1 0 0,-1-1 1 0 0,1 1-1 0 0,-1 0 1 0 0,1-1-1 0 0,-1 0 1 0 0,0 1-1 0 0,0-1 0 0 0,0 0 1 0 0,0 0-1 0 0,-2 1 1 0 0,4-2 127 0 0,-1 0 0 0 0,1 0 0 0 0,0 0 0 0 0,-1 0 0 0 0,1 0 0 0 0,-1 1 0 0 0,1-1 0 0 0,-1 0 0 0 0,1 0 0 0 0,-1 0 0 0 0,1 0 0 0 0,-1 1 0 0 0,1-1 0 0 0,0 0 0 0 0,-1 1 0 0 0,1-1 0 0 0,-1 0 0 0 0,1 1 0 0 0,0-1 0 0 0,-1 0 0 0 0,1 1 0 0 0,0-1 0 0 0,0 1 0 0 0,-1-1 0 0 0,1 1 0 0 0,-5 4-3548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23.342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33 18 288 0 0,'0'0'4616'0'0,"-21"-5"1357"0"0,9-7-6609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26.975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233 150 1700 0 0,'0'0'1700'0'0,"-4"0"-26"0"0,-11 1-26 0 0,11 0 3326 0 0,0-1-3293 0 0,-17 0 8431 0 0,17 0-9023 0 0,3 0-1062 0 0,-12-2 5520 0 0,21-2-5034 0 0,0 2 1 0 0,1-1-1 0 0,0 1 1 0 0,13-1 0 0 0,14-4-467 0 0,4-1-47 0 0,-1 1 0 0 0,-4 0 0 0 0,-7 1 0 0 0,-5 2 0 0 0,-7 0 0 0 0,-41 2 0 0 0,-14 6 0 0 0,-254 43 0 0 0,257-41 0 0 0,4 1 0 0 0,17-3 0 0 0,41-5 0 0 0,128-31 0 0 0,-89 16 0 0 0,271-60 0 0 0,-301 69 0 0 0,-4 0 0 0 0,-30 6 0 0 0,-9 3 0 0 0,-26 4 0 0 0,-21 5 0 0 0,-235 54 0 0 0,81-15 0 0 0,176-43 0 0 0,14-3 0 0 0,42-13 0 0 0,163-52-2265 0 0,96-14-6274 0 0,-245 65 7215 0 0,-25 8-6841 0 0,14-4-2453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28.308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157 54 2196 0 0,'0'0'27460'0'0,"3"-1"-26615"0"0,41-12 1396 0 0,-16 6-2216 0 0,1-1-25 0 0,-1 0 0 0 0,-2 2 0 0 0,-4 0 0 0 0,-8 1 0 0 0,-34 5 0 0 0,-38 9 0 0 0,-62 17 0 0 0,42-7 0 0 0,48-12 0 0 0,2 0 0 0 0,12 2 0 0 0,16-9 0 0 0,1 1 0 0 0,0-1 0 0 0,0 1 0 0 0,0-1 0 0 0,0 0 0 0 0,1 1 0 0 0,-1-1 0 0 0,0 0 0 0 0,0 0 0 0 0,0 0 0 0 0,0 0 0 0 0,0 0 0 0 0,0 0 0 0 0,0 0 0 0 0,1-1 0 0 0,31-3 0 0 0,8-3 0 0 0,141-25 0 0 0,-156 29 0 0 0,8-2 0 0 0,-9-1 0 0 0,-1 3 0 0 0,-7 0 0 0 0,-33 6 0 0 0,-31 5 0 0 0,44-7 0 0 0,-77 18 0 0 0,46-11 0 0 0,7-1 0 0 0,3-1 0 0 0,8 2 0 0 0,17-7 0 0 0,0-1 0 0 0,0 1 0 0 0,0-1 0 0 0,1 1 0 0 0,-1-1 0 0 0,0 0 0 0 0,0 0 0 0 0,0 0 0 0 0,0 1 0 0 0,0-1 0 0 0,0 0 0 0 0,0 0 0 0 0,3-1 0 0 0,20-2 0 0 0,2-3 0 0 0,3 0 0 0 0,2 0 0 0 0,-4-1 0 0 0,-1 1 0 0 0,-3-1 0 0 0,-2 1 0 0 0,2 1 0 0 0,1-1 0 0 0,-5 2-94 0 0,-16 3-466 0 0,5 6-8941 0 0,-4 0 5954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42.529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13 66 100 0 0,'0'0'5408'0'0,"-2"1"-3753"0"0,-4 2-2369 0 0,2-1 4652 0 0,5-13 2022 0 0,0 9-4967 0 0,-1 2-925 0 0,1-1 1 0 0,0 1 0 0 0,-1 0 0 0 0,1 0 0 0 0,-1 0 0 0 0,1 0 0 0 0,-1-1 0 0 0,1 1 0 0 0,-1 0 0 0 0,1 0-1 0 0,-1-1 1 0 0,1 1 0 0 0,-1 0 0 0 0,0-1 0 0 0,1 1 0 0 0,-1 0 0 0 0,1-1 0 0 0,-1 1 0 0 0,1-2-1 0 0,9-7 1082 0 0,40-17 1820 0 0,-47 25-2526 0 0,1-1-53 0 0,11-4-54 0 0,-11 4 226 0 0,1 1-336 0 0,-1 0-113 0 0,0 0 0 0 0,0 1 0 0 0,0 0 0 0 0,0 0 0 0 0,0 0 0 0 0,0 0 0 0 0,0 0 0 0 0,5 2 0 0 0,-5-1 21 0 0,-4 0-118 0 0,1-1 1 0 0,-1 1-1 0 0,1-1 1 0 0,-1 1-1 0 0,0-1 0 0 0,1 1 1 0 0,-1 0-1 0 0,0-1 1 0 0,1 1-1 0 0,-1 0 1 0 0,0 0-1 0 0,0-1 1 0 0,1 1-1 0 0,-1 0 1 0 0,0-1-1 0 0,0 1 0 0 0,0 0 1 0 0,0 0-1 0 0,0-1 1 0 0,0 1-1 0 0,0 0 1 0 0,0 0-1 0 0,-1-1 1 0 0,1 1-1 0 0,0 0 1 0 0,0-1-1 0 0,0 1 0 0 0,-1 0 1 0 0,-6 25 346 0 0,-15 14 90 0 0,21-37-408 0 0,0 0-20 0 0,-3 8-3 0 0,3-9-8 0 0,0 1 7 0 0,-2 6 0 0 0,2-7 19 0 0,5 14 95 0 0,-1-13-114 0 0,0 0 0 0 0,1 0 0 0 0,-1 0-1 0 0,1-1 1 0 0,-1 0 0 0 0,1 1 0 0 0,0-1-1 0 0,4 1 1 0 0,33 17 48 0 0,-8-6-188 0 0,-29-13 46 0 0,-1 2-7 0 0,25 21-202 0 0,-26-22 207 0 0,-3 0 38 0 0,1-1 0 0 0,0 1 0 0 0,0-1-1 0 0,-1 1 1 0 0,1-1 0 0 0,-1 0 0 0 0,1 1 0 0 0,-1-1 0 0 0,0 1-1 0 0,1-1 1 0 0,-1 0 0 0 0,0 0 0 0 0,0 1 0 0 0,0-1-1 0 0,0 0 1 0 0,0 0 0 0 0,0 0 0 0 0,0 0 0 0 0,-1 0-1 0 0,-1 1 1 0 0,-31 15-1099 0 0,21-12 425 0 0,-20 12-1564 0 0,29-15 1244 0 0,0-1-1205 0 0,-11 3-3287 0 0,11-3 250 0 0</inkml:trace>
  <inkml:trace contextRef="#ctx0" brushRef="#br0" timeOffset="358.7">390 64 1692 0 0,'7'-7'697'0'0,"11"-9"6371"0"0,-16 14-3463 0 0,0 0-1988 0 0,7-3 6409 0 0,-11 15-4443 0 0,-15 29-2883 0 0,7-17 437 0 0,5-9-924 0 0,1-1 1 0 0,1 1 0 0 0,0-1 0 0 0,1 1 0 0 0,0 0 0 0 0,0 0 0 0 0,2 16-1 0 0,0-25-259 0 0,1-1 0 0 0,-1 0 0 0 0,1 1 1 0 0,0-1-1 0 0,0 0 0 0 0,0 0 0 0 0,1 1 0 0 0,-1-1 0 0 0,1 0 0 0 0,4 5 0 0 0,-5-6 15 0 0,1 0-24 0 0,-1 0 1 0 0,1 0-1 0 0,0-1 1 0 0,0 1-1 0 0,1 0 0 0 0,-1-1 1 0 0,0 0-1 0 0,0 1 1 0 0,1-1-1 0 0,-1 0 1 0 0,1 0-1 0 0,-1 0 1 0 0,1 0-1 0 0,2 0 0 0 0,-2-1 73 0 0,1 2-135 0 0,0-2 5 0 0,11 1 23 0 0,-11-1 12 0 0,0-2-79 0 0,-3 1 135 0 0,0 1 11 0 0,0-1 0 0 0,0 1 0 0 0,1 0 0 0 0,-1-1 0 0 0,0 0 0 0 0,0 1-1 0 0,-1-1 1 0 0,1 1 0 0 0,0-1 0 0 0,0 0 0 0 0,0 0 0 0 0,1-1 0 0 0,-2 1 1 0 0,0 0 1 0 0,0 0 0 0 0,1 0 0 0 0,-2 1 0 0 0,1-1 0 0 0,0 0-1 0 0,0 0 1 0 0,0 0 0 0 0,0 0 0 0 0,0 0 0 0 0,-1 1 0 0 0,1-1-1 0 0,0 0 1 0 0,-1 0 0 0 0,1 1 0 0 0,-1-1 0 0 0,1 0 0 0 0,-1 0-1 0 0,1 1 1 0 0,-1-1 0 0 0,1 0 0 0 0,-1 1 0 0 0,1-1 0 0 0,-1 1-1 0 0,0-1 1 0 0,0 1 0 0 0,1-1 0 0 0,-1 1 0 0 0,0-1 0 0 0,0 1-1 0 0,0-1 1 0 0,-3-1-122 0 0,0 0 1 0 0,0 0-1 0 0,0 1 0 0 0,0-1 1 0 0,0 1-1 0 0,-5-2 0 0 0,-58-2-3918 0 0,63 5 2936 0 0,0 1-2705 0 0,-11 3-1339 0 0,11-3 335 0 0</inkml:trace>
  <inkml:trace contextRef="#ctx0" brushRef="#br0" timeOffset="655.72">566 139 784 0 0,'0'0'3628'0'0,"1"-2"-1959"0"0,2-5-972 0 0,-1 1 3737 0 0,1 0 6261 0 0,0 6-8113 0 0,3 4-4399 0 0,-4-2 2243 0 0,1 0-26 0 0,10 6-53 0 0,0 0 0 0 0,0 2 0 0 0,-1-1 0 0 0,0 2 0 0 0,12 12 0 0 0,-23-21-428 0 0,0-1 0 0 0,0 0 1 0 0,-1 0-1 0 0,1 1 1 0 0,0-1-1 0 0,-1 0 0 0 0,1 1 1 0 0,-1-1-1 0 0,1 1 0 0 0,-1-1 1 0 0,0 1-1 0 0,1-1 1 0 0,-1 1-1 0 0,0-1 0 0 0,0 1 1 0 0,0-1-1 0 0,0 1 0 0 0,0-1 1 0 0,-1 1-1 0 0,1-1 0 0 0,0 1 1 0 0,-1-1-1 0 0,0 2 1 0 0,-7 13-4550 0 0,-1-5-5596 0 0</inkml:trace>
  <inkml:trace contextRef="#ctx0" brushRef="#br0" timeOffset="889.83">526 162 428 0 0,'0'0'3835'0'0,"0"-1"-3495"0"0,0 0 0 0 0,0 0 0 0 0,-1 0 0 0 0,1 1 0 0 0,0-1 0 0 0,0 0 0 0 0,0 0 0 0 0,1 0 0 0 0,-1 0 0 0 0,0 1 0 0 0,0-1 0 0 0,0 0 0 0 0,1 0 0 0 0,-1 0 1 0 0,0 0-1 0 0,1 1 0 0 0,0-2 0 0 0,12-10 771 0 0,0 1 1 0 0,1 1 0 0 0,0 0-1 0 0,1 1 1 0 0,24-12 0 0 0,21-6-1202 0 0,-21 9-3395 0 0,-2 0-3492 0 0,-21 8 2331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8T07:39:30.906"/>
    </inkml:context>
    <inkml:brush xml:id="br0">
      <inkml:brushProperty name="width" value="0.025" units="cm"/>
      <inkml:brushProperty name="height" value="0.025" units="cm"/>
      <inkml:brushProperty name="color" value="#CC0066"/>
    </inkml:brush>
  </inkml:definitions>
  <inkml:trace contextRef="#ctx0" brushRef="#br0">12 311 1504 0 0,'0'0'3494'0'0,"-2"-3"-1838"0"0,-4-3 6439 0 0,3 8-2883 0 0,2 22-1055 0 0,11 48-4195 0 0,-9-61 1352 0 0,22 193 3063 0 0,-22-201-3928 0 0,-1 1 12 0 0,1 10-30 0 0,-1-11 1162 0 0,-2-6-1534 0 0,0-1-59 0 0,0-1 0 0 0,1 1 1 0 0,-1-1-1 0 0,1 1 0 0 0,-1-1 0 0 0,1 1 1 0 0,1-1-1 0 0,-1 0 0 0 0,1 0 1 0 0,0 1-1 0 0,0-1 0 0 0,1-6 0 0 0,0-6 0 0 0,-1-21 0 0 0,3 0 0 0 0,0 0 0 0 0,3 0 0 0 0,1 1 0 0 0,1 0 0 0 0,2 1 0 0 0,2-1 0 0 0,27-55 0 0 0,-27 67-40 0 0,-6 17-86 0 0,0 3 71 0 0,5-4-117 0 0,-8 7 11 0 0,1 2-136 0 0,13 0 129 0 0,-12 1 13 0 0,-4 2-6 0 0,1 3 74 0 0,0 1 0 0 0,0-1-1 0 0,-1 1 1 0 0,0 0 0 0 0,-1-1-1 0 0,1 1 1 0 0,-1 0 0 0 0,0-1-1 0 0,-1 1 1 0 0,0 0 0 0 0,0-1-1 0 0,0 1 1 0 0,-4 8 0 0 0,-5 19-714 0 0,-19 39 0 0 0,22-57 412 0 0,-35 74-1405 0 0,40-87 1669 0 0,0-1 17 0 0,-6 7 1 0 0,6-7 7 0 0,2 0-24 0 0,1 3 169 0 0,0-1 0 0 0,0 1 0 0 0,1-1 0 0 0,0 0 0 0 0,0 0 0 0 0,0 0 0 0 0,0 0 0 0 0,4 5 0 0 0,28 36-314 0 0,-23-32-203 0 0,-6-7-24 0 0,0 0 0 0 0,1 0 0 0 0,0 0 0 0 0,0-1 0 0 0,12 8 1 0 0,0-3-4042 0 0,-2-3-5099 0 0</inkml:trace>
  <inkml:trace contextRef="#ctx0" brushRef="#br0" timeOffset="408.32">334 541 36 0 0,'0'-1'4041'0'0,"4"-13"7185"0"0,32-4-8693 0 0,-32 16-2145 0 0,-1 0-11 0 0,11-6-10 0 0,-11 6-11 0 0,12-10 478 0 0,-12 10-335 0 0,-3 1-470 0 0,0 1 1 0 0,0-1 0 0 0,0 1 0 0 0,0 0 0 0 0,0-1 0 0 0,0 1 0 0 0,0 0-1 0 0,0-1 1 0 0,0 1 0 0 0,1-1 0 0 0,-1 1 0 0 0,0 0 0 0 0,0-1 0 0 0,0 1 0 0 0,1 0-1 0 0,-1 0 1 0 0,0-1 0 0 0,1 1 0 0 0,-1 0 0 0 0,0 0 0 0 0,0-1 0 0 0,1 1-1 0 0,-1 0 1 0 0,1 0 0 0 0,-1-1 0 0 0,11-10 1666 0 0,-3-18 859 0 0,-8 26-1939 0 0,0 2-463 0 0,0 0 0 0 0,0 0 0 0 0,0 1 0 0 0,0-1 0 0 0,-1 0 0 0 0,1 0 0 0 0,0 0 0 0 0,0 0 1 0 0,-1 1-1 0 0,1-1 0 0 0,-1 0 0 0 0,1 0 0 0 0,-1 1 0 0 0,1-1 0 0 0,-1 0 0 0 0,1 1 0 0 0,-1-2 0 0 0,-12-5 181 0 0,10 5-35 0 0,3 3-282 0 0,-1-1 1 0 0,1 0-1 0 0,0 1 0 0 0,0-1 0 0 0,0 0 1 0 0,-1 1-1 0 0,1-1 0 0 0,0 0 1 0 0,-1 1-1 0 0,1-1 0 0 0,0 0 0 0 0,-1 0 1 0 0,1 1-1 0 0,0-1 0 0 0,-1 0 0 0 0,1 0 1 0 0,-1 0-1 0 0,1 0 0 0 0,0 1 1 0 0,-1-1-1 0 0,1 0 0 0 0,-1 0 0 0 0,-12 6 356 0 0,8-2-272 0 0,1 1 0 0 0,-1 0 0 0 0,1-1 0 0 0,0 1 0 0 0,1 1-1 0 0,-1-1 1 0 0,1 1 0 0 0,0-1 0 0 0,0 1 0 0 0,1 0 0 0 0,-3 9 0 0 0,2-3-300 0 0,0 1 1 0 0,1-1 0 0 0,1 1-1 0 0,-1 21 1 0 0,3-31-95 0 0,-1 1 0 0 0,1 0 0 0 0,0-1 0 0 0,0 1-1 0 0,0 0 1 0 0,1-1 0 0 0,-1 0 0 0 0,1 1 0 0 0,4 5 0 0 0,-5-6 176 0 0,1-1-259 0 0,0 0 1 0 0,0 1 0 0 0,0-1 0 0 0,0 0 0 0 0,0 0 0 0 0,1 0 0 0 0,-1 0 0 0 0,1 0 0 0 0,-1-1-1 0 0,1 1 1 0 0,-1-1 0 0 0,1 0 0 0 0,5 2 0 0 0,-4-1-653 0 0,8 2-6794 0 0,-3-2 5544 0 0,-4-2 267 0 0,0 1-5371 0 0</inkml:trace>
  <inkml:trace contextRef="#ctx0" brushRef="#br0" timeOffset="666.55">654 490 496 0 0,'0'-15'1830'0'0,"0"12"3054"0"0,0 0-3522 0 0,0-9 6195 0 0,0 12-7511 0 0,0 0 1 0 0,0 1-1 0 0,0-1 1 0 0,0 0 0 0 0,0 1-1 0 0,0-1 1 0 0,0 0-1 0 0,0 1 1 0 0,-1-1-1 0 0,1 0 1 0 0,0 1-1 0 0,0-1 1 0 0,0 0-1 0 0,-1 0 1 0 0,1 1-1 0 0,0-1 1 0 0,0 0 0 0 0,0 0-1 0 0,-1 0 1 0 0,1 1-1 0 0,0-1 1 0 0,-1 0-1 0 0,1 0 1 0 0,0 0-1 0 0,-1 1 1 0 0,-8 8 1016 0 0,6 0-507 0 0,0 0-1 0 0,0 0 1 0 0,1 0-1 0 0,0 0 0 0 0,-1 16 1 0 0,3-10-883 0 0,-1-1 1 0 0,2 0 0 0 0,2 15-1 0 0,-1-17-318 0 0,8 7-10757 0 0,-9-18 10743 0 0</inkml:trace>
  <inkml:trace contextRef="#ctx0" brushRef="#br0" timeOffset="1239.24">758 524 476 0 0,'0'0'15590'0'0,"4"0"-15169"0"0,0-1-133 0 0,0 0 0 0 0,0-1 0 0 0,0 1 0 0 0,0-1 0 0 0,0 1 1 0 0,7-5-1 0 0,-8 3 668 0 0,-3 3-925 0 0,1 0-1 0 0,-1 0 1 0 0,1 0 0 0 0,-1 0 0 0 0,0-1-1 0 0,1 1 1 0 0,-1 0 0 0 0,0 0 0 0 0,1 0 0 0 0,-1-1-1 0 0,0 1 1 0 0,1 0 0 0 0,-1-1 0 0 0,0 1-1 0 0,0 0 1 0 0,1-1 0 0 0,-1 1 0 0 0,0 0-1 0 0,0-1 1 0 0,0 1 0 0 0,0 0 0 0 0,1-1 0 0 0,-1 1-1 0 0,0-1 1 0 0,0 1 0 0 0,0-1 0 0 0,0 1 3 0 0,0-1 1 0 0,0 1 0 0 0,0-1-1 0 0,0 1 1 0 0,1 0-1 0 0,-1-1 1 0 0,0 1 0 0 0,0-1-1 0 0,0 1 1 0 0,0 0-1 0 0,1-1 1 0 0,-1 1 0 0 0,0 0-1 0 0,0-1 1 0 0,1 1 0 0 0,-1 0-1 0 0,0 0 1 0 0,1-1-1 0 0,-1 1 1 0 0,0 0 0 0 0,1 0-1 0 0,-1-1 1 0 0,0 1-1 0 0,1 0 1 0 0,-1 0 0 0 0,1 0-1 0 0,0-2 267 0 0,0 1-1 0 0,-1 0 1 0 0,1 0 0 0 0,0-1-1 0 0,-1 1 1 0 0,1-1-1 0 0,-1 1 1 0 0,0 0-1 0 0,1-1 1 0 0,-1 1-1 0 0,0-1 1 0 0,0 1 0 0 0,0 0-1 0 0,0-1 1 0 0,0 1-1 0 0,0-1 1 0 0,0 1-1 0 0,-1-1 1 0 0,0-1-1 0 0,1 2-239 0 0,-1 0 0 0 0,0 1 0 0 0,1-1-1 0 0,-1 0 1 0 0,0 1 0 0 0,0-1-1 0 0,0 1 1 0 0,1-1 0 0 0,-1 1-1 0 0,0 0 1 0 0,0-1 0 0 0,0 1 0 0 0,0 0-1 0 0,0 0 1 0 0,0 0 0 0 0,0-1-1 0 0,0 1 1 0 0,1 0 0 0 0,-1 0-1 0 0,0 0 1 0 0,0 0 0 0 0,0 1-1 0 0,0-1 1 0 0,0 0 0 0 0,0 0 0 0 0,0 0-1 0 0,0 1 1 0 0,0-1 0 0 0,1 0-1 0 0,-2 1 1 0 0,-2 1 156 0 0,1 1-22 0 0,0 1-132 0 0,-1 0-1 0 0,1 0 0 0 0,0 1 1 0 0,0-1-1 0 0,0 1 1 0 0,0 0-1 0 0,1 0 1 0 0,0 0-1 0 0,0 0 1 0 0,0 0-1 0 0,1 0 1 0 0,-2 8-1 0 0,3-10-147 0 0,-1 1 0 0 0,1-1 0 0 0,0 1 0 0 0,1 0 0 0 0,-1-1 0 0 0,0 1 0 0 0,1-1 0 0 0,0 1 0 0 0,0-1 0 0 0,0 0 0 0 0,0 1 1 0 0,0-1-1 0 0,1 0 0 0 0,0 0 0 0 0,2 4 0 0 0,-2-4-135 0 0,16 6-512 0 0,5-12 472 0 0,-18 3 152 0 0,-2-2 10 0 0,3-1 162 0 0,0 0 1 0 0,-1 0-1 0 0,0-1 0 0 0,0 0 0 0 0,0 0 1 0 0,0 0-1 0 0,-1 0 0 0 0,0-1 0 0 0,1 0 1 0 0,5-10-1 0 0,8-23 1466 0 0,-17 35-1184 0 0,6-8 444 0 0,-1 80-3198 0 0,-6-67 1554 0 0,1-1-1464 0 0,-1 4 4232 0 0,0-1-2147 0 0,0 0-3403 0 0,5 12-17911 0 0</inkml:trace>
  <inkml:trace contextRef="#ctx0" brushRef="#br0" timeOffset="1427.71">888 346 1376 0 0,'0'0'2376'0'0,"-7"-13"741"0"0</inkml:trace>
  <inkml:trace contextRef="#ctx0" brushRef="#br0" timeOffset="1737.74">967 371 1440 0 0,'18'9'12299'0'0,"-16"-7"-11454"0"0,0 1-479 0 0,1-1 0 0 0,-1 1-1 0 0,1 0 1 0 0,-1-1 0 0 0,0 1 0 0 0,-1 0-1 0 0,1 1 1 0 0,0-1 0 0 0,1 6 0 0 0,12 39 1812 0 0,-7-19-1323 0 0,6 8 478 0 0,-13-35 164 0 0,2-3-1310 0 0,12-3-11 0 0,-12 3-17 0 0,14-55-444 0 0,-10 22-1415 0 0,-3 20-3121 0 0</inkml:trace>
  <inkml:trace contextRef="#ctx0" brushRef="#br0" timeOffset="3636.08">1180 484 1280 0 0,'0'0'9869'0'0,"-1"-3"-9005"0"0,-3-6-29 0 0,3 7 1493 0 0,2-5-1641 0 0,-3 2 690 0 0,0 5 3026 0 0,-1 2-4345 0 0,1-1 0 0 0,-1 1 1 0 0,1 0-1 0 0,0-1 1 0 0,-1 1-1 0 0,1 0 0 0 0,0 0 1 0 0,0 0-1 0 0,1 1 0 0 0,-1-1 1 0 0,0 0-1 0 0,1 1 1 0 0,-1-1-1 0 0,1 1 0 0 0,-2 3 1 0 0,2-4 43 0 0,-4 16 92 0 0,4-15-174 0 0,0 20-16 0 0,1-21 137 0 0,4-2-113 0 0,12-1 1 0 0,-12 1 35 0 0,-1-2-45 0 0,-2 1-12 0 0,0 0-3 0 0,0 0 0 0 0,0 1 0 0 0,0-1 0 0 0,0 0 0 0 0,0 1 0 0 0,0-1 0 0 0,-1 1-1 0 0,1-1 1 0 0,0 1 0 0 0,1-1 0 0 0,-1 1 0 0 0,2-1 103 0 0,-1 0-47 0 0,9-9 65 0 0,-10 9-122 0 0,0 0 1 0 0,1 0-1 0 0,-1 0 1 0 0,0 0 0 0 0,0 0-1 0 0,1 1 1 0 0,-1-1-1 0 0,1 0 1 0 0,-1 1 0 0 0,1-1-1 0 0,1 1 1 0 0,11 6-9 0 0,0 2 8 0 0,-11-7 13 0 0,43-4 171 0 0,-41 1-152 0 0,-5 2-34 0 0,0 0 1 0 0,1 0-1 0 0,-1 0 1 0 0,0 0-1 0 0,1 0 1 0 0,-1 0-1 0 0,0 0 1 0 0,1 0-1 0 0,-1 0 1 0 0,0 0-1 0 0,1-1 1 0 0,-1 1-1 0 0,0 0 0 0 0,1 0 1 0 0,-1 0-1 0 0,0-1 1 0 0,0 1-1 0 0,1 0 1 0 0,-1 0-1 0 0,0-1 1 0 0,0 1-1 0 0,1 0 1 0 0,-1 0-1 0 0,0-1 1 0 0,0 1-1 0 0,0 0 1 0 0,1-1-1 0 0,-1 0 1 0 0,0 1 1 0 0,0 0-1 0 0,1-1 0 0 0,-1 1 0 0 0,0-1 1 0 0,1 1-1 0 0,-1 0 0 0 0,0-1 0 0 0,1 1 1 0 0,-1 0-1 0 0,0-1 0 0 0,1 1 0 0 0,-1 0 1 0 0,1 0-1 0 0,-1-1 0 0 0,0 1 0 0 0,1 0 1 0 0,-1 0-1 0 0,1 0 0 0 0,0-1 1 0 0,11-12 58 0 0,-9 9 24 0 0,1-1 1 0 0,-1 0-1 0 0,0 0 0 0 0,0 0 1 0 0,-1 0-1 0 0,1-1 0 0 0,-1 1 1 0 0,0-1-1 0 0,1-5 0 0 0,6-50 724 0 0,-8 53-713 0 0,9-76 963 0 0,-3 30 968 0 0,0-58-1 0 0,-8 99-1519 0 0,0 20 144 0 0,-2 18-269 0 0,6 96-441 0 0,-5 112-3755 0 0,1-231 3697 0 0,12-20-712 0 0,22-20 227 0 0,-31 35 500 0 0,-1 2 84 0 0,-1 1 0 0 0,0-1 0 0 0,1 0-1 0 0,-1 1 1 0 0,1-1 0 0 0,0 0-1 0 0,-1 1 1 0 0,1-1 0 0 0,-1 1-1 0 0,1-1 1 0 0,0 1 0 0 0,-1-1-1 0 0,1 1 1 0 0,0 0 0 0 0,-1-1-1 0 0,1 1 1 0 0,0 0 0 0 0,0 0 0 0 0,0-1-1 0 0,-1 1 1 0 0,1 0 0 0 0,0 0-1 0 0,0 0 1 0 0,0 0 0 0 0,-1 0-1 0 0,1 0 1 0 0,0 0 0 0 0,1 0-1 0 0,16 1-163 0 0,-13-1 95 0 0,-4 0 69 0 0,1 1 0 0 0,-1 0 0 0 0,0-1 0 0 0,1 1 0 0 0,-1 0 0 0 0,0-1 0 0 0,0 1 0 0 0,0 0 0 0 0,1 0 0 0 0,-1 0 0 0 0,0 0 0 0 0,0 0 0 0 0,0 0 0 0 0,0 1 0 0 0,-1-1 0 0 0,1 0 0 0 0,0 0 0 0 0,0 1 0 0 0,-1-1 0 0 0,1 0 0 0 0,-1 1 0 0 0,1-1 0 0 0,-1 1 0 0 0,0-1 0 0 0,1 3 0 0 0,0 33-272 0 0,-1-36 270 0 0,-1 1-13 0 0,1 0 1 0 0,-1 0 0 0 0,1 0 0 0 0,-1 0 0 0 0,1 1 0 0 0,-1-2 0 0 0,0 1-1 0 0,0 0 1 0 0,0 0 0 0 0,-3 3 0 0 0,3-3 13 0 0,-1 0-85 0 0,-4 3 13 0 0,-4 5-151 0 0,-2-1 186 0 0,9-7 10 0 0,-1-3-182 0 0,-13-3 212 0 0,13 3 317 0 0,6 3-381 0 0,0 1 32 0 0,0-1 0 0 0,0 0-1 0 0,1 0 1 0 0,-1 0 0 0 0,0 0 0 0 0,1 0 0 0 0,0-1 0 0 0,-1 1 0 0 0,1-1 0 0 0,4 2 0 0 0,-3-3 24 0 0,1 1 1 0 0,-1-1 0 0 0,1 0 0 0 0,-1 0 0 0 0,1-1 0 0 0,-1 1 0 0 0,1-1 0 0 0,4-1 0 0 0,-6 1 5 0 0,1-1 11 0 0,0-1 38 0 0,0 0 1 0 0,0 0 0 0 0,1 0 0 0 0,-2-1-1 0 0,1 0 1 0 0,0 0 0 0 0,-1 0-1 0 0,0 0 1 0 0,4-6 0 0 0,0-4 44 0 0,-1-1 1 0 0,-1 0 0 0 0,-1 0 0 0 0,5-25 0 0 0,4-68 126 0 0,-1 3 389 0 0,-11 66-435 0 0,-1 36 115 0 0,-3 6-247 0 0,-1 3-23 0 0,-1 0 0 0 0,1 0 0 0 0,0 1 1 0 0,1-1-1 0 0,0 1 0 0 0,0 0 0 0 0,0 0 0 0 0,1 0 0 0 0,0 0 0 0 0,0 0 0 0 0,1 0 1 0 0,0 1-1 0 0,0 12 0 0 0,-1 17-223 0 0,4 50 1 0 0,-1-71-38 0 0,1 0 0 0 0,1 0 0 0 0,0 0 0 0 0,1 0 0 0 0,0 0 1 0 0,12 24-1 0 0,-15-38 214 0 0,0 0 1 0 0,0 0-1 0 0,1-1 1 0 0,-1 1-1 0 0,1 0 1 0 0,-1-1-1 0 0,1 1 1 0 0,0 0-1 0 0,0-1 1 0 0,0 0-1 0 0,0 1 1 0 0,0-1-1 0 0,0 0 1 0 0,4 1-1 0 0,-4-1 59 0 0,1 1-110 0 0,1-2 37 0 0,0-1 48 0 0,0 1 0 0 0,0-1 1 0 0,-1 0-1 0 0,1 0 0 0 0,0 0 0 0 0,-1 0 0 0 0,1-1 0 0 0,-1 0 0 0 0,1 1 1 0 0,-1-1-1 0 0,0 0 0 0 0,0-1 0 0 0,0 1 0 0 0,0-1 0 0 0,0 1 1 0 0,3-4-1 0 0,28-54 1508 0 0,-33 58-1155 0 0,0 1-323 0 0,-1 1-1 0 0,0 0 1 0 0,1 0-1 0 0,-1 0 1 0 0,0-1-1 0 0,0 1 1 0 0,1 0-1 0 0,-1-1 1 0 0,0 1-1 0 0,0 0 1 0 0,1-1-1 0 0,-1 1 1 0 0,0 0-1 0 0,0-1 1 0 0,0 1-1 0 0,1 0 1 0 0,-1-1-1 0 0,0 1 1 0 0,0-1-1 0 0,0 1 1 0 0,0 0-1 0 0,0-1 1 0 0,0 0-1 0 0,0 1-5 0 0,0-1 1 0 0,0 1-1 0 0,0 0 0 0 0,0-1 0 0 0,0 1 0 0 0,0 0 1 0 0,0-1-1 0 0,0 1 0 0 0,1-1 0 0 0,-1 1 0 0 0,0 0 0 0 0,0-1 1 0 0,0 1-1 0 0,0 0 0 0 0,1-1 0 0 0,-1 1 0 0 0,0 0 1 0 0,0 0-1 0 0,1-1 0 0 0,-1 1 0 0 0,0 0 0 0 0,1-1 1 0 0,-1 1-1 0 0,1 0 0 0 0,3-11 1173 0 0,-7 15-1146 0 0,-1 6 36 0 0,4 17 22 0 0,0-21-167 0 0,1-1-1 0 0,0 1 1 0 0,1-1 0 0 0,0 0-1 0 0,0 1 1 0 0,0-1-1 0 0,0 0 1 0 0,7 10 0 0 0,-7-13 0 0 0,-1-2-7 0 0,0 0 67 0 0,1 1 0 0 0,-1-1 0 0 0,0 0 0 0 0,0 1 1 0 0,1-1-1 0 0,-1 0 0 0 0,0 1 0 0 0,0 0 0 0 0,0-1 0 0 0,0 1 0 0 0,2 1 0 0 0,-1-1-7 0 0,2 1-27 0 0,1-3-42 0 0,14-3 42 0 0,-15 3 13 0 0,0-1 7 0 0,0 0 16 0 0,10-9-21 0 0,-10 7 38 0 0,0 1 0 0 0,-1-1 0 0 0,1-1 1 0 0,-1 1-1 0 0,0 0 0 0 0,0-1 0 0 0,-1 0 0 0 0,0 1 0 0 0,1-1 0 0 0,-1 0 0 0 0,-1 0 1 0 0,1 0-1 0 0,1-9 0 0 0,-2 7-4 0 0,3-13 9 0 0,-4 17-24 0 0,1 0-16 0 0,3-26-372 0 0,-4 26 280 0 0,-4 4-516 0 0,-16 3 494 0 0,21-1 105 0 0,0 0 0 0 0,-1 0-1 0 0,1 0 1 0 0,1 0 0 0 0,-1 0 0 0 0,0 0-1 0 0,2 3 1 0 0,-1-3 16 0 0,1 2-47 0 0,1 0 0 0 0,0-1 0 0 0,0 1 0 0 0,0-1 0 0 0,9 7 0 0 0,0 0-111 0 0,-8-7 40 0 0,0 1-26 0 0,0-1 0 0 0,0 1-1 0 0,0 0 1 0 0,6 8 0 0 0,-11-12 112 0 0,1 0 0 0 0,0 0 0 0 0,-1 0 1 0 0,1 0-1 0 0,0 0 0 0 0,-1 1 0 0 0,1-1 1 0 0,-1 0-1 0 0,0 0 0 0 0,1 0 0 0 0,-1 0 1 0 0,0 1-1 0 0,0-1 0 0 0,0 0 0 0 0,1 0 1 0 0,-1 1-1 0 0,-1-1 0 0 0,1 0 0 0 0,0 0 1 0 0,0 0-1 0 0,0 1 0 0 0,-1-1 0 0 0,1 0 1 0 0,0 0-1 0 0,-1 0 0 0 0,1 0 0 0 0,-1 1 1 0 0,0-1-1 0 0,1 0 0 0 0,-1 0 0 0 0,0 0 1 0 0,0 0-1 0 0,-1 1 0 0 0,-25 19-2342 0 0,23-19 350 0 0,1-1-2688 0 0,-11 5 294 0 0,10-4-826 0 0</inkml:trace>
  <inkml:trace contextRef="#ctx0" brushRef="#br0" timeOffset="3841.3">2074 423 840 0 0,'0'0'7181'0'0,"23"-8"-4701"0"0,-2-2-1880 0 0,4 1-1376 0 0,-4 1-7693 0 0</inkml:trace>
  <inkml:trace contextRef="#ctx0" brushRef="#br0" timeOffset="4023.21">2139 445 708 0 0,'-20'27'5556'0'0,"18"-25"-3189"0"0,0 0-1311 0 0,2-2-923 0 0,0 0 0 0 0,0 0 0 0 0,-1 0 0 0 0,1 1-1 0 0,0-1 1 0 0,0 0 0 0 0,-1 0 0 0 0,1 1 0 0 0,0-1 0 0 0,0 0 0 0 0,0 0 0 0 0,0 1 0 0 0,0-1 0 0 0,-1 0-1 0 0,1 0 1 0 0,0 1 0 0 0,0-1 0 0 0,0 0 0 0 0,0 0 0 0 0,0 1 0 0 0,0-1 0 0 0,0 0 0 0 0,0 1 0 0 0,0-1 0 0 0,0 0-1 0 0,0 0 1 0 0,0 1 0 0 0,0-1 0 0 0,0 0 0 0 0,0 1 0 0 0,0-1 0 0 0,0 0 0 0 0,1 0 0 0 0,-1 1 0 0 0,0-1-1 0 0,0 0 1 0 0,0 1 0 0 0,13-1 353 0 0,29-13-9670 0 0,-24 7 5001 0 0</inkml:trace>
  <inkml:trace contextRef="#ctx0" brushRef="#br0" timeOffset="5399.85">2618 201 916 0 0,'0'0'12389'0'0,"-2"2"-11489"0"0,0 1-639 0 0,0 0-1 0 0,1-1 0 0 0,-1 1 1 0 0,1 0-1 0 0,0 0 0 0 0,0 1 1 0 0,0-1-1 0 0,0 0 1 0 0,0 0-1 0 0,1 0 0 0 0,0 1 1 0 0,-1 3-1 0 0,2 50 1760 0 0,0-31-1395 0 0,-7 78 3530 0 0,6-102-2675 0 0,-4-4-1184 0 0,1 0-221 0 0,1-1 1 0 0,-1 1-1 0 0,0 0 1 0 0,1-1-1 0 0,-1 0 0 0 0,1 1 1 0 0,0-1-1 0 0,0 0 1 0 0,0 0-1 0 0,0-1 1 0 0,1 1-1 0 0,-1 0 1 0 0,-1-4-1 0 0,1-2-6 0 0,0 1 1 0 0,0-1-1 0 0,0 0 0 0 0,1 0 1 0 0,0-9-1 0 0,2-7-81 0 0,0 0 0 0 0,2 1 0 0 0,6-27 1 0 0,-5 33-138 0 0,0 0 0 0 0,2 0 1 0 0,0 0-1 0 0,1 1 1 0 0,0 0-1 0 0,2 0 0 0 0,20-30 1 0 0,-27 44-15 0 0,1 1 4 0 0,-2 1 102 0 0,0 1 25 0 0,0-1 0 0 0,-1 0 0 0 0,1 0 0 0 0,0 1 0 0 0,0-1 0 0 0,0 0 0 0 0,0 1 0 0 0,0-1 0 0 0,0 1 0 0 0,0 0 0 0 0,0-1 0 0 0,2 0 0 0 0,-3 1 23 0 0,1 0 0 0 0,-1 0 1 0 0,1 0-1 0 0,0 0 0 0 0,-1 1 0 0 0,1-1 1 0 0,-1 0-1 0 0,1 0 0 0 0,-1 0 0 0 0,1 0 1 0 0,-1 1-1 0 0,1-1 0 0 0,-1 0 0 0 0,1 1 1 0 0,-1-1-1 0 0,1 0 0 0 0,-1 1 0 0 0,1-1 1 0 0,-1 1-1 0 0,1-1 0 0 0,-1 0 0 0 0,0 1 1 0 0,1-1-1 0 0,-1 1 0 0 0,0-1 0 0 0,0 1 1 0 0,1-1-1 0 0,-1 2 0 0 0,2 18-254 0 0,-10 15-17 0 0,-1-12-100 0 0,-1-1 0 0 0,-19 31 0 0 0,-7 14-457 0 0,35-65 823 0 0,-2 4-58 0 0,2-6 93 0 0,1 0 0 0 0,0 0 0 0 0,-1 0 0 0 0,1 1 0 0 0,0-1 0 0 0,0 0 0 0 0,-1 0 0 0 0,1 0 0 0 0,0 1 0 0 0,0-1 0 0 0,0 0 0 0 0,-1 0 0 0 0,1 1 0 0 0,0-1 0 0 0,0 0 0 0 0,0 0 0 0 0,0 1-1 0 0,0-1 1 0 0,-1 0 0 0 0,1 1 0 0 0,0-1 0 0 0,0 0 0 0 0,0 1 0 0 0,0-1 0 0 0,0 0 0 0 0,0 1 0 0 0,0-1 0 0 0,0 0 0 0 0,0 0 0 0 0,0 1 0 0 0,0-1 0 0 0,0 0 0 0 0,0 1 0 0 0,0-1 0 0 0,1 0 0 0 0,-1 1 0 0 0,0-1 0 0 0,37 45 278 0 0,4 4-117 0 0,-39-46-167 0 0,1-1 10 0 0,9 7 1 0 0,-9-7 12 0 0,0 0-15 0 0,9 6 3 0 0,-9-7 24 0 0,2 0-24 0 0,3-1-9 0 0,0 0-1 0 0,0-1 1 0 0,14-2-1 0 0,-17 1-2 0 0,-3 2-9 0 0,1-1 0 0 0,-1 0 0 0 0,0 0 0 0 0,1 0 0 0 0,-1-1 1 0 0,0 1-1 0 0,1 0 0 0 0,-1-1 0 0 0,0 1 0 0 0,0-1 0 0 0,0 0 1 0 0,2-3-1 0 0,23-27 67 0 0,-25 29-23 0 0,0 0 0 0 0,0-1 0 0 0,0 1 0 0 0,0-1 1 0 0,0 1-1 0 0,-1-1 0 0 0,0 0 0 0 0,0 1 0 0 0,0-1 0 0 0,0 0 0 0 0,0-7 1 0 0,1-2 261 0 0,-2 10-169 0 0,1 3-115 0 0,-1-1 0 0 0,0 1 0 0 0,0-1 1 0 0,0 1-1 0 0,1-1 0 0 0,-1 1 0 0 0,0-1 1 0 0,0 1-1 0 0,0-1 0 0 0,0 1 0 0 0,0-1 1 0 0,0 1-1 0 0,0-1 0 0 0,0 1 0 0 0,0-1 1 0 0,0 0-1 0 0,0 1 0 0 0,0-1 0 0 0,-1 1 1 0 0,1-1-1 0 0,0 1 0 0 0,0-1 0 0 0,-1 1 1 0 0,1-1-1 0 0,0 1 0 0 0,0 0 0 0 0,-1-1 0 0 0,0 0 1 0 0,-16 5 16 0 0,15-3-35 0 0,1 0-1 0 0,-1 0 1 0 0,0 1 0 0 0,1-1 0 0 0,0 1 0 0 0,-1 0 0 0 0,1-1 0 0 0,0 1-1 0 0,-1 0 1 0 0,1 0 0 0 0,0-1 0 0 0,0 1 0 0 0,1 0 0 0 0,-2 4-1 0 0,-3 1 22 0 0,3-3-20 0 0,0-1 0 0 0,1 1 1 0 0,-1-1-1 0 0,1 1 0 0 0,0 0 0 0 0,0-1 1 0 0,-1 6-1 0 0,-4 12 14 0 0,0 11-35 0 0,8-22-18 0 0,-1-5 9 0 0,0-3-32 0 0,-1-2 48 0 0,0 0 1 0 0,0 0 0 0 0,1 1 0 0 0,-1-1-1 0 0,0 0 1 0 0,0 0 0 0 0,1 0-1 0 0,-1 0 1 0 0,0 0 0 0 0,0 0-1 0 0,0 1 1 0 0,1-1 0 0 0,-1 0-1 0 0,0 0 1 0 0,0 0 0 0 0,0 0 0 0 0,0 1-1 0 0,1-1 1 0 0,-1 0 0 0 0,0 0-1 0 0,0 1 1 0 0,0-1 0 0 0,0 0-1 0 0,0 0 1 0 0,0 0 0 0 0,0 1-1 0 0,0-1 1 0 0,0 0 0 0 0,0 0 0 0 0,0 1-1 0 0,1 0-18 0 0,-1 0 0 0 0,0-1-1 0 0,0 1 1 0 0,1 0 0 0 0,-1 0 0 0 0,0-1-1 0 0,1 1 1 0 0,-1 0 0 0 0,1-1 0 0 0,-1 1-1 0 0,0 0 1 0 0,1-1 0 0 0,0 1 0 0 0,-1-1-1 0 0,1 1 1 0 0,-1-1 0 0 0,1 1 0 0 0,1 0-1 0 0,12 6-217 0 0,-11-5-73 0 0,2-1-46 0 0,13 1-16 0 0,-13-2-18 0 0,-1 0-51 0 0,15-1-49 0 0,-14 1-62 0 0,-1 0-78 0 0,5-2 791 0 0,10-3-4274 0 0,2 3-6459 0 0</inkml:trace>
  <inkml:trace contextRef="#ctx0" brushRef="#br0" timeOffset="6159.1">3061 258 1316 0 0,'0'0'6625'0'0,"-1"-2"-5141"0"0,0 2-1142 0 0,1-1-1 0 0,0 1 1 0 0,-1-1 0 0 0,1 1 0 0 0,-1-1-1 0 0,1 1 1 0 0,-1 0 0 0 0,1-1 0 0 0,0 1-1 0 0,-1-1 1 0 0,1 1 0 0 0,-1 0 0 0 0,0 0-1 0 0,1-1 1 0 0,-1 1 0 0 0,1 0 0 0 0,-1 0-1 0 0,1 0 1 0 0,-1-1 0 0 0,0 1 0 0 0,0 0-1 0 0,-9 4 4045 0 0,3 4-5546 0 0,2-2 1568 0 0,-35 52 2103 0 0,36-52-2381 0 0,1 0 0 0 0,0 1 1 0 0,1-1-1 0 0,-1 1 0 0 0,1-1 0 0 0,0 1 0 0 0,1 0 0 0 0,-1 8 1 0 0,1-13-183 0 0,2-1 0 0 0,-1 1 0 0 0,0-1 0 0 0,0 1 1 0 0,0-1-1 0 0,1 1 0 0 0,-1-1 0 0 0,1 0 1 0 0,-1 1-1 0 0,1-1 0 0 0,0 0 0 0 0,-1 1 1 0 0,1-1-1 0 0,0 0 0 0 0,0 0 0 0 0,0 0 1 0 0,0 0-1 0 0,0 0 0 0 0,2 2 0 0 0,-2-2 65 0 0,2 2-479 0 0,2-2-117 0 0,14-2 358 0 0,36-5-13879 0 0,-51 5 8101 0 0</inkml:trace>
  <inkml:trace contextRef="#ctx0" brushRef="#br0" timeOffset="6742.04">3206 332 140 0 0,'0'0'1360'0'0,"-4"1"-79"0"0,-3 0-2962 0 0,2 0 7303 0 0,9-3 1850 0 0,6 0-5370 0 0,-9 2-2062 0 0,0 0 0 0 0,-1-1-1 0 0,1 1 1 0 0,0 0 0 0 0,-1 0-1 0 0,1-1 1 0 0,-1 1 0 0 0,1 0-1 0 0,-1-1 1 0 0,1 1 0 0 0,-1-1 0 0 0,1 1-1 0 0,-1 0 1 0 0,1-1 0 0 0,-1 1-1 0 0,1-1 1 0 0,0-1 0 0 0,7-6 1155 0 0,3-1-701 0 0,-9 7 20 0 0,0 0-4 0 0,9-24 1536 0 0,-10 23-1071 0 0,-1 1-522 0 0,0 1-398 0 0,0 0 0 0 0,1 0 0 0 0,-1 1 0 0 0,0-1-1 0 0,0 0 1 0 0,0 0 0 0 0,0 1 0 0 0,-1-1 0 0 0,1 0 0 0 0,0 0-1 0 0,0 0 1 0 0,0 1 0 0 0,-1-1 0 0 0,1 0 0 0 0,0 1 0 0 0,-1-1 0 0 0,1 0-1 0 0,-1 1 1 0 0,1-1 0 0 0,0 0 0 0 0,-1 1 0 0 0,0-1 0 0 0,1 1 0 0 0,-1-1-1 0 0,1 1 1 0 0,-1-1 0 0 0,0 1 0 0 0,1-1 0 0 0,-1 1 0 0 0,0-1 0 0 0,1 1-1 0 0,-1 0 1 0 0,0 0 0 0 0,0-1 0 0 0,1 1 0 0 0,-1 0 0 0 0,0 0-1 0 0,0 0 1 0 0,1 0 0 0 0,-1 0 0 0 0,0 0 0 0 0,0 0 0 0 0,0 0 0 0 0,1 0-1 0 0,-1 0 1 0 0,0 0 0 0 0,0 0 0 0 0,1 1 0 0 0,-1-1 0 0 0,0 0 0 0 0,-1 1-1 0 0,-1 0 74 0 0,1 0-108 0 0,1 0-1 0 0,0 0 1 0 0,0 0-1 0 0,0 0 1 0 0,-1 0-1 0 0,1 0 1 0 0,0 0-1 0 0,0 1 1 0 0,1-1-1 0 0,-2 2 0 0 0,-2 1-41 0 0,1 0 0 0 0,0 0-1 0 0,0 1 1 0 0,1 0-1 0 0,-1-1 1 0 0,1 1 0 0 0,0 0-1 0 0,0 0 1 0 0,1 0-1 0 0,-1 0 1 0 0,1 1 0 0 0,0-1-1 0 0,1 0 1 0 0,-1 0 0 0 0,1 1-1 0 0,0 4 1 0 0,0-6-67 0 0,1-1 1 0 0,-1 0 0 0 0,1 0 0 0 0,0 0-1 0 0,-1 0 1 0 0,1 0 0 0 0,1 0 0 0 0,-1-1-1 0 0,0 1 1 0 0,1 0 0 0 0,-1 0-1 0 0,1-1 1 0 0,0 1 0 0 0,3 3 0 0 0,-2-4-130 0 0,1 0 9 0 0,40 9-516 0 0,-39-10 578 0 0,-1-2 17 0 0,13-2 21 0 0,-13 2 16 0 0,0 0 52 0 0,1-1 78 0 0,-1 0 1 0 0,0 0-1 0 0,0 0 1 0 0,0 0-1 0 0,0-1 0 0 0,-1 0 1 0 0,1 1-1 0 0,-1-2 1 0 0,0 1-1 0 0,1 0 0 0 0,-1 0 1 0 0,0-1-1 0 0,-1 0 0 0 0,5-6 1 0 0,15-45 1599 0 0,-21 53-1408 0 0,5-10 272 0 0,-1 0-7 0 0,-3 14-348 0 0,-1 9-126 0 0,-10 58-3160 0 0,9-66 2235 0 0,-1 3-3405 0 0,0 1 1587 0 0</inkml:trace>
  <inkml:trace contextRef="#ctx0" brushRef="#br0" timeOffset="6924.12">3344 179 1112 0 0,'-4'-14'6349'0'0</inkml:trace>
  <inkml:trace contextRef="#ctx0" brushRef="#br0" timeOffset="7284.35">3388 212 1356 0 0,'0'0'12889'0'0,"3"1"-12148"0"0,12 4-66 0 0,-11-4 506 0 0,-2 2-664 0 0,63 77 2830 0 0,-64-78-3233 0 0,1 0 4 0 0,23 19 554 0 0,-22-19-371 0 0,-1-4-219 0 0,1-1-84 0 0,-1 1 0 0 0,1-1 0 0 0,-1 0 1 0 0,0 1-1 0 0,0-1 0 0 0,0 0 0 0 0,-1 0 1 0 0,1-1-1 0 0,-1 1 0 0 0,0 0 0 0 0,0 0 0 0 0,0-1 1 0 0,0 1-1 0 0,0 0 0 0 0,-1-1 0 0 0,1-4 1 0 0,1-15-1661 0 0,-2 21 797 0 0</inkml:trace>
  <inkml:trace contextRef="#ctx0" brushRef="#br0" timeOffset="8815.44">3601 288 916 0 0,'0'0'7015'0'0,"1"-2"-6056"0"0,4-7 282 0 0,-2 0 3256 0 0,-2 3-171 0 0,-1 7-4316 0 0,0-1 1 0 0,0 0-1 0 0,0 0 1 0 0,0 1-1 0 0,-1-1 0 0 0,1 0 1 0 0,0 0-1 0 0,0 0 1 0 0,0 1-1 0 0,0-1 1 0 0,-1 0-1 0 0,1 0 1 0 0,0 0-1 0 0,0 0 1 0 0,0 1-1 0 0,-1-1 0 0 0,1 0 1 0 0,0 0-1 0 0,0 0 1 0 0,-1 0-1 0 0,1 0 1 0 0,0 0-1 0 0,0 0 1 0 0,-1 0-1 0 0,1 0 1 0 0,0 0-1 0 0,0 0 0 0 0,-1 0 1 0 0,1 0-1 0 0,0 0 1 0 0,0 0-1 0 0,-1 0 1 0 0,1 0 6 0 0,-1 0 1 0 0,1 0 0 0 0,-1 0-1 0 0,1 0 1 0 0,-1 0 0 0 0,1 0-1 0 0,-1 0 1 0 0,1 1 0 0 0,-1-1-1 0 0,1 0 1 0 0,-1 0 0 0 0,1 0 0 0 0,-1 0-1 0 0,1 1 1 0 0,0-1 0 0 0,-1 0-1 0 0,1 0 1 0 0,-1 1 0 0 0,1-1-1 0 0,0 0 1 0 0,-1 1 0 0 0,1-1-1 0 0,0 1 1 0 0,-1-1 0 0 0,1 0-1 0 0,0 1 1 0 0,-1 0 0 0 0,-3 9 136 0 0,2-8-15 0 0,-10 42 591 0 0,15-45-683 0 0,13-4-4 0 0,-12 4 213 0 0,-4 1-252 0 0,1 0 0 0 0,-1 0 1 0 0,0 0-1 0 0,0 0 1 0 0,0 0-1 0 0,1 0 0 0 0,-1 0 1 0 0,0 0-1 0 0,0-1 1 0 0,1 1-1 0 0,-1 0 0 0 0,0 0 1 0 0,0 0-1 0 0,0 0 1 0 0,1 0-1 0 0,-1-1 0 0 0,0 1 1 0 0,0 0-1 0 0,0 0 1 0 0,1 0-1 0 0,-1 0 0 0 0,0-1 1 0 0,0 1-1 0 0,0 0 1 0 0,0 0-1 0 0,0 0 0 0 0,0-1 1 0 0,0 1-1 0 0,1 0 1 0 0,-1-1-1 0 0,0 1 8 0 0,0 0 1 0 0,0-1-1 0 0,0 1 0 0 0,0-1 0 0 0,1 1 1 0 0,-1 0-1 0 0,0 0 0 0 0,0-1 0 0 0,0 1 1 0 0,1 0-1 0 0,-1-1 0 0 0,0 1 0 0 0,1 0 1 0 0,-1 0-1 0 0,0-1 0 0 0,0 1 0 0 0,1 0 1 0 0,-1 0-1 0 0,0 0 0 0 0,1 0 0 0 0,-1-1 1 0 0,1 1-1 0 0,-1 0 0 0 0,0 0 0 0 0,1 0 1 0 0,-1 0-1 0 0,0 0 0 0 0,1 0 0 0 0,-1 0 1 0 0,1 0-1 0 0,-1 0 0 0 0,0 0 0 0 0,1 0 1 0 0,0 0-1 0 0,17 2 27 0 0,1 40-207 0 0,-18-39 88 0 0,12 10-134 0 0,-7-8 162 0 0,-6-4 50 0 0,0-1 0 0 0,0 0 0 0 0,0 1 0 0 0,1-1 0 0 0,-1 0 0 0 0,0 1 0 0 0,0-1 0 0 0,0 0 0 0 0,1 0 0 0 0,-1 1 0 0 0,0-1 0 0 0,0 0 0 0 0,1 0 0 0 0,-1 1 0 0 0,0-1 0 0 0,1 0 0 0 0,-1 0 0 0 0,0 0 0 0 0,1 0 1 0 0,-1 1-1 0 0,0-1 0 0 0,1 0 0 0 0,-1 0 0 0 0,1 0 0 0 0,-1 0 0 0 0,0 0 0 0 0,1 0 0 0 0,-1 0 0 0 0,0 0 0 0 0,1 0 0 0 0,-1 0 0 0 0,1 0 0 0 0,-1 0 0 0 0,0 0 0 0 0,1-1 0 0 0,1 0-4 0 0,1-1 30 0 0,0 0 1 0 0,0 0-1 0 0,0-1 1 0 0,0 1 0 0 0,-1 0-1 0 0,1-1 1 0 0,-1 0-1 0 0,0 0 1 0 0,0 1 0 0 0,0-1-1 0 0,0 0 1 0 0,0-1-1 0 0,1-2 1 0 0,1-19 328 0 0,-1 0 0 0 0,-2 0 0 0 0,0 0 0 0 0,-5-42 0 0 0,1 15 354 0 0,-3-69 2448 0 0,2 129-3019 0 0,3-7-131 0 0,1-1 1 0 0,-1 0-1 0 0,1 1 0 0 0,0-1 0 0 0,-1 1 1 0 0,1-1-1 0 0,-1 1 0 0 0,1-1 1 0 0,0 1-1 0 0,-1-1 0 0 0,1 1 1 0 0,0 0-1 0 0,0-1 0 0 0,-1 1 1 0 0,1-1-1 0 0,0 1 0 0 0,0 0 1 0 0,0-1-1 0 0,0 1 0 0 0,0-1 1 0 0,0 2-1 0 0,-12 74-149 0 0,5-33-1462 0 0,-3 73 0 0 0,14-116 1532 0 0,14-4-12 0 0,-13 3 0 0 0,-2-1 2 0 0,3-1 22 0 0,0-1-1 0 0,0 1 1 0 0,0 0-1 0 0,1 0 1 0 0,-1 1-1 0 0,1 0 1 0 0,-1 0-1 0 0,1 0 1 0 0,0 1-1 0 0,0 0 1 0 0,7 0-1 0 0,-9 2 5 0 0,-2 1-65 0 0,10 5 42 0 0,-9-5-5 0 0,-1 7-125 0 0,-3-8 201 0 0,1 0 0 0 0,-1 0 0 0 0,1 0 0 0 0,-1 0 0 0 0,0-1 0 0 0,1 1 0 0 0,-1 0-1 0 0,0 0 1 0 0,0 0 0 0 0,0 0 0 0 0,0 0 0 0 0,0 0 0 0 0,0 0 0 0 0,0-1 0 0 0,0 1 0 0 0,0 0 0 0 0,0 0 0 0 0,0 0 0 0 0,0 0 0 0 0,-1 0 0 0 0,1 0 0 0 0,0 0-1 0 0,-1-1 1 0 0,0 3 0 0 0,-33 46-646 0 0,32-47 598 0 0,-1 0 11 0 0,-10 7-131 0 0,4-1 1113 0 0,9-8-919 0 0,0 1 0 0 0,0-1-1 0 0,0 1 1 0 0,0-1 0 0 0,0 0 0 0 0,0 1-1 0 0,1-1 1 0 0,-1 0 0 0 0,0 1-1 0 0,0-1 1 0 0,1 0 0 0 0,-1 1 0 0 0,0-1-1 0 0,1 0 1 0 0,-1 1 0 0 0,0-1 0 0 0,1 0-1 0 0,-1 0 1 0 0,0 0 0 0 0,1 1 0 0 0,-1-1-1 0 0,0 0 1 0 0,1 0 0 0 0,-1 0 0 0 0,0 0-1 0 0,1 0 1 0 0,-1 0 0 0 0,1 1 0 0 0,-1-1-1 0 0,1 0 1 0 0,-1 0 0 0 0,4 1 24 0 0,0 0-16 0 0,11 2-2 0 0,-12-2 24 0 0,2-2-30 0 0,14-2-2 0 0,-14 2 0 0 0,-1 0-2 0 0,12-4-3 0 0,-12 4 4 0 0,1-1 20 0 0,0-1-28 0 0,0 1 49 0 0,-1 0 1 0 0,0 0 0 0 0,1-1-1 0 0,-1 1 1 0 0,0-1 0 0 0,-1 0-1 0 0,1 0 1 0 0,0 0-1 0 0,-1 0 1 0 0,0-1 0 0 0,1 1-1 0 0,-2-1 1 0 0,1 0 0 0 0,4-7-1 0 0,1-10 261 0 0,0 0-1 0 0,-1-1 0 0 0,7-42 1 0 0,2-70 819 0 0,-15 131-940 0 0,-4 6-158 0 0,-2 5-14 0 0,0 1 0 0 0,0-1 0 0 0,1 1 0 0 0,1 0 0 0 0,-1 0-1 0 0,1 0 1 0 0,-2 13 0 0 0,-12 74-545 0 0,15-85 399 0 0,1-1-68 0 0,0 1 0 0 0,0-1 0 0 0,1 0 0 0 0,0 1 0 0 0,1-1 0 0 0,2 12 0 0 0,-3-20 140 0 0,1 0 0 0 0,-1 0-1 0 0,1-1 1 0 0,0 1 0 0 0,-1 0-1 0 0,1 0 1 0 0,0-1 0 0 0,0 1 0 0 0,0 0-1 0 0,0-1 1 0 0,1 1 0 0 0,-1-1-1 0 0,0 1 1 0 0,1-1 0 0 0,-1 0-1 0 0,1 0 1 0 0,-1 0 0 0 0,1 1-1 0 0,0-1 1 0 0,-1-1 0 0 0,1 1 0 0 0,0 0-1 0 0,0 0 1 0 0,-1-1 0 0 0,1 1-1 0 0,0-1 1 0 0,0 1 0 0 0,3-1-1 0 0,-1 1-91 0 0,0-2 25 0 0,14-3 9 0 0,-14 3 7 0 0,0-1 8 0 0,40-29 100 0 0,-43 29 66 0 0,1-1 6 0 0,6-10 6 0 0,-6 10-4 0 0,-1 0-20 0 0,5-24 101 0 0,-6 25-47 0 0,-4 3-105 0 0,-16 5-6 0 0,12 14-278 0 0,7-18 158 0 0,1 1 0 0 0,0-1 0 0 0,0 1 1 0 0,0-1-1 0 0,0 1 0 0 0,0 0 0 0 0,2 4 1 0 0,-1-5-305 0 0,13 4-589 0 0,-12-4 784 0 0,2-1-756 0 0,1-1-1159 0 0,3 0 671 0 0,2 0-658 0 0,7 0-3905 0 0,7-1 432 0 0</inkml:trace>
  <inkml:trace contextRef="#ctx0" brushRef="#br0" timeOffset="9391.83">4332 224 568 0 0,'2'-9'297'0'0,"2"-17"10235"0"0,-3 16-2869 0 0,-2 13-7193 0 0,-4 7 32 0 0,2 0 0 0 0,0 1 1 0 0,0-1-1 0 0,-1 16 0 0 0,-8 29 194 0 0,8-44-631 0 0,-1 10 184 0 0,7-18-166 0 0,7-9-92 0 0,-6 4 21 0 0,-2 2-11 0 0,-1-1 0 0 0,1 1 0 0 0,-1 0 0 0 0,1-1-1 0 0,0 1 1 0 0,-1 0 0 0 0,1-1 0 0 0,-1 1 0 0 0,1-1 0 0 0,-1 1 0 0 0,0-1 0 0 0,1 1 0 0 0,-1-1 0 0 0,1 1 0 0 0,-1-1 0 0 0,0 0 0 0 0,0 1 0 0 0,1-1 0 0 0,-1 1 0 0 0,0-2 0 0 0,1 1-10 0 0,-1 0 0 0 0,0 1 0 0 0,1-1 0 0 0,-1 0 0 0 0,0 0 0 0 0,1 0 1 0 0,-1 1-1 0 0,1-1 0 0 0,-1 0 0 0 0,1 0 0 0 0,0 1 0 0 0,-1-1 0 0 0,1 1 1 0 0,0-1-1 0 0,-1 0 0 0 0,1 1 0 0 0,0-1 0 0 0,0 1 0 0 0,0 0 1 0 0,-1-1-1 0 0,1 1 0 0 0,0 0 0 0 0,1-1 0 0 0,13 1 30 0 0,-11 0-27 0 0,-1 2-20 0 0,9 5-19 0 0,-9-5-45 0 0,2-1-151 0 0,13 1-217 0 0,34 0 1 0 0,-48-2 330 0 0,1-2 21 0 0,2 0 82 0 0,-2 1 10 0 0,0 0 1 0 0,-1 0 0 0 0,1-1-1 0 0,-1 1 1 0 0,1-1-1 0 0,-1 0 1 0 0,0-1 0 0 0,1 1-1 0 0,-1-1 1 0 0,0 0 0 0 0,-1 0-1 0 0,1 0 1 0 0,0 0-1 0 0,-1 0 1 0 0,4-5 0 0 0,-6 4 60 0 0,1 0 1 0 0,-1 0 0 0 0,1 0-1 0 0,-1 0 1 0 0,0 0 0 0 0,-1 0 0 0 0,1-1-1 0 0,-1 1 1 0 0,0 0 0 0 0,0 0-1 0 0,0 0 1 0 0,0-1 0 0 0,-1 1 0 0 0,0 0-1 0 0,1 0 1 0 0,-2 0 0 0 0,1 0-1 0 0,0 0 1 0 0,-1 0 0 0 0,-3-6 0 0 0,-1-1 63 0 0,0 1 0 0 0,0 0 1 0 0,-1 1-1 0 0,0-1 0 0 0,-1 1 1 0 0,-9-8-1 0 0,10 11-30 0 0,-20-9-42 0 0,20 14-60 0 0,2 1 5 0 0,1-1-80 0 0,-2 1-101 0 0,3 0-348 0 0,-3 0 605 0 0,0 0-1 0 0,0 1 1 0 0,0 0-1 0 0,-9 2 1 0 0,-7 8-3451 0 0,20-9 2128 0 0,0 0 0 0 0,0-1 0 0 0,0 1 0 0 0,0 0 0 0 0,1 0 0 0 0,-1 0 0 0 0,1 0 0 0 0,-2 4 0 0 0,-4 8-4618 0 0</inkml:trace>
  <inkml:trace contextRef="#ctx0" brushRef="#br0" timeOffset="10739.05">4638 225 224 0 0,'0'0'1880'0'0,"1"-3"-114"0"0,2-3-30 0 0,1 0-1 0 0,-2 1 1 0 0,1-2 0 0 0,-1 1 0 0 0,0 0 0 0 0,2-10-1 0 0,-4-8 5882 0 0,-5 24-7259 0 0,-13 0-35 0 0,14 0-29 0 0,1 3-34 0 0,-2 3-200 0 0,0 0 1 0 0,0 0 0 0 0,0 0 0 0 0,1 1 0 0 0,0 0-1 0 0,1 0 1 0 0,-1 0 0 0 0,1 0 0 0 0,1 0 0 0 0,-4 15-1 0 0,5-19-192 0 0,1-1 6 0 0,3 13-192 0 0,-3-14 308 0 0,0-1-1 0 0,0 1 1 0 0,1 0-1 0 0,-1-1 0 0 0,0 1 1 0 0,0-1-1 0 0,1 1 1 0 0,-1-1-1 0 0,0 1 1 0 0,1-1-1 0 0,-1 1 1 0 0,0-1-1 0 0,1 1 1 0 0,-1-1-1 0 0,1 0 1 0 0,-1 1-1 0 0,1-1 0 0 0,-1 0 1 0 0,1 1-1 0 0,-1-1 1 0 0,1 0-1 0 0,-1 0 1 0 0,1 1-1 0 0,-1-1 1 0 0,1 0-1 0 0,0 0 1 0 0,15-5-28 0 0,-12 4 29 0 0,0-1-14 0 0,-1 0 0 0 0,35-35 628 0 0,-36 35-178 0 0,-1 1-404 0 0,-1 0 0 0 0,1 0 0 0 0,0 1 0 0 0,-1-1 0 0 0,1 0 0 0 0,-1 1 0 0 0,1-1 0 0 0,0 1 0 0 0,0-1 0 0 0,-1 1 0 0 0,1-1 0 0 0,0 1 0 0 0,0-1 0 0 0,0 1-1 0 0,-1 0 1 0 0,1-1 0 0 0,2 1 0 0 0,12 52-423 0 0,-14-50 362 0 0,0-1-222 0 0,0-1 254 0 0,1 0 0 0 0,-1 1-1 0 0,0-1 1 0 0,1 0 0 0 0,-1 0 0 0 0,0 0-1 0 0,1 0 1 0 0,-1 0 0 0 0,0-1 0 0 0,0 1-1 0 0,3-1 1 0 0,-1 1-6 0 0,1-1-22 0 0,27-20 27 0 0,-28 19 111 0 0,0 0-83 0 0,8-4-6 0 0,-9 5-22 0 0,2 2-584 0 0,9 4 411 0 0,-10-3-31 0 0,-1 0-134 0 0,-1 0 227 0 0,1 0 1 0 0,0 1-1 0 0,-1-1 1 0 0,1 0-1 0 0,0 0 1 0 0,0 0-1 0 0,0-1 0 0 0,1 1 1 0 0,-1-1-1 0 0,3 2 1 0 0,-2-1-74 0 0,1-1-126 0 0,11 2 189 0 0,-11-3 11 0 0,1-1-30 0 0,33-12 476 0 0,-35 11-99 0 0,-2 2-181 0 0,0-1 0 0 0,0 1-1 0 0,-1-1 1 0 0,1 1 0 0 0,0-1 0 0 0,0 0-1 0 0,-1 1 1 0 0,1-1 0 0 0,0 0 0 0 0,-1 0-1 0 0,1 0 1 0 0,-1 1 0 0 0,1-1 0 0 0,-1 0-1 0 0,1-2 1 0 0,0 2 54 0 0,-1 0 1 0 0,1 0-1 0 0,-1 1 0 0 0,1-1 1 0 0,-1 0-1 0 0,1 0 0 0 0,-1 0 1 0 0,1 0-1 0 0,0 0 1 0 0,0 1-1 0 0,-1-1 0 0 0,1 0 1 0 0,0 1-1 0 0,0-1 0 0 0,1 0 1 0 0,5-18 2015 0 0,-6 16-2159 0 0,4-12 2026 0 0,-6 15-970 0 0,-4 7-998 0 0,2-2 61 0 0,1 1 0 0 0,0-1 0 0 0,0 1 0 0 0,1-1-1 0 0,-2 11 1 0 0,0 0-9 0 0,-18 77 251 0 0,14-55-308 0 0,-1-2 0 0 0,-2 1-1 0 0,-1-1 1 0 0,-30 61 0 0 0,35-86-102 0 0,-40 66-819 0 0,44-74 799 0 0,-1 0-31 0 0,-6 2-217 0 0,9-5 344 0 0,0-1 0 0 0,0 0 0 0 0,0 1 0 0 0,0-1 0 0 0,0 1 0 0 0,0-1-1 0 0,0 1 1 0 0,0-1 0 0 0,0 0 0 0 0,0 1 0 0 0,0-1 0 0 0,0 1 0 0 0,1-1 0 0 0,-1 1 0 0 0,0-1 0 0 0,0 1-1 0 0,1-1 1 0 0,-1 1 0 0 0,0-1 0 0 0,1 1 0 0 0,-1-1 0 0 0,0 1 0 0 0,1 0 0 0 0,0-1 0 0 0,84-137-516 0 0,28-51 202 0 0,5-63 893 0 0,-105 222-557 0 0,-12 28 50 0 0,-3 2-63 0 0,0 1 3 0 0,0-1 0 0 0,0 1-1 0 0,1 0 1 0 0,-1-1 0 0 0,0 1-1 0 0,1 0 1 0 0,-1 0 0 0 0,0 0 0 0 0,1 0-1 0 0,-1 0 1 0 0,1 0 0 0 0,0 1-1 0 0,-1-1 1 0 0,1 0 0 0 0,0 1-1 0 0,0-1 1 0 0,0 1 0 0 0,0 0 0 0 0,0-1-1 0 0,-1 4 1 0 0,-1 0-14 0 0,1-1 0 0 0,1 1 1 0 0,-1-1-1 0 0,1 1 0 0 0,-1-1 1 0 0,1 1-1 0 0,1 0 0 0 0,-1 6 0 0 0,-1-8 12 0 0,1 2 2 0 0,7 17-30 0 0,-3-15-61 0 0,1 1 0 0 0,-1-1 0 0 0,1 0 1 0 0,1 0-1 0 0,0 0 0 0 0,0-1 0 0 0,0 0 0 0 0,0 0 0 0 0,1 0 1 0 0,0-1-1 0 0,8 6 0 0 0,24 25-1584 0 0,-37-35 1605 0 0,2 2-80 0 0,-1-1 0 0 0,0 0 0 0 0,-1 1-1 0 0,1-1 1 0 0,0 1 0 0 0,-1-1 0 0 0,2 4-1 0 0,-3-5 78 0 0,1 0 0 0 0,-1 0 0 0 0,0 0 0 0 0,1 0-1 0 0,-1 0 1 0 0,0 1 0 0 0,0-1 0 0 0,0 0 0 0 0,0 0 0 0 0,0 0-1 0 0,0 0 1 0 0,-1 0 0 0 0,1 0 0 0 0,0 0 0 0 0,0 0 0 0 0,-1 0-1 0 0,1 0 1 0 0,0 0 0 0 0,-1 0 0 0 0,1 0 0 0 0,-1 0-1 0 0,0 0 1 0 0,1-1 0 0 0,-1 1 0 0 0,0 0 0 0 0,1 0 0 0 0,-1 0-1 0 0,0-1 1 0 0,0 1 0 0 0,0 0 0 0 0,0-1 0 0 0,1 1-1 0 0,-3 0 1 0 0,-10 6-1203 0 0,-1 0 0 0 0,-20 7 0 0 0,-35 5-9356 0 0,38-12 5046 0 0</inkml:trace>
  <inkml:trace contextRef="#ctx0" brushRef="#br0" timeOffset="11064.12">2732 911 1272 0 0,'-46'17'4903'0'0,"41"-15"1005"0"0,22 6-3468 0 0,-9-7-2067 0 0,0 0-1 0 0,0-1 1 0 0,1 0 0 0 0,-1 0 0 0 0,0-1 0 0 0,14-2 0 0 0,9-1 376 0 0,461-47 4577 0 0,246-37-1636 0 0,-263 22-3512 0 0,-445 61-1328 0 0,-25 4 432 0 0,-29 2-15899 0 0,20 0 9882 0 0</inkml:trace>
  <inkml:trace contextRef="#ctx0" brushRef="#br0" timeOffset="12977.78">5441 536 1120 0 0,'0'0'3496'0'0,"-3"3"-1943"0"0,-16 23 2861 0 0,-28 35 917 0 0,-2-1-4147 0 0,37-46-560 0 0,0 3-3413 0 0,-10 11-5888 0 0,19-25 4277 0 0</inkml:trace>
  <inkml:trace contextRef="#ctx0" brushRef="#br0" timeOffset="13216.42">5236 669 832 0 0,'0'0'1707'0'0,"1"-2"-112"0"0,3-8-98 0 0,-3 7 1150 0 0,1 1-1463 0 0,0 1-813 0 0,1 0-1 0 0,-1 0 1 0 0,0-1-1 0 0,1 2 1 0 0,-1-1-1 0 0,0 0 1 0 0,1 0-1 0 0,-1 1 1 0 0,1-1-1 0 0,-1 1 1 0 0,1 0-1 0 0,4 0 1 0 0,-2 0 353 0 0,0 2-48 0 0,115 43 1461 0 0,-113-42-4276 0 0,0-1 0 0 0,0-1 0 0 0,0 1 0 0 0,14 0 0 0 0,-16-2 1671 0 0,0 1-4329 0 0</inkml:trace>
  <inkml:trace contextRef="#ctx0" brushRef="#br0" timeOffset="13631.88">5744 292 1336 0 0,'0'-10'3063'0'0,"-1"5"838"0"0,-17-32 4430 0 0,16 35-6120 0 0,-2 1-1609 0 0,-13-3-83 0 0,13 4-36 0 0,1 2-41 0 0,-4 2-142 0 0,1 1 0 0 0,0 0 0 0 0,0 1 0 0 0,0 0 0 0 0,1 0 0 0 0,-7 9-1 0 0,10-13-241 0 0,0 1 0 0 0,0 0 0 0 0,0 0 0 0 0,0 0 0 0 0,0 0 0 0 0,1 0 0 0 0,-1 0 0 0 0,1 0 0 0 0,0 1 0 0 0,0-1 0 0 0,0 0 0 0 0,1 1 0 0 0,-1-1 0 0 0,1 1 0 0 0,0-1 0 0 0,0 1 0 0 0,0-1-1 0 0,0 1 1 0 0,0-1 0 0 0,1 0 0 0 0,1 5 0 0 0,-1-5-69 0 0,0 0-1 0 0,1 0 1 0 0,-1 0-1 0 0,1-1 1 0 0,-1 1 0 0 0,1 0-1 0 0,0-1 1 0 0,0 0-1 0 0,1 1 1 0 0,-1-1-1 0 0,0 0 1 0 0,1 0-1 0 0,-1 0 1 0 0,1 0-1 0 0,0-1 1 0 0,3 3 0 0 0,7 3-45 0 0,33 19-264 0 0,-43-24 217 0 0,0 0 14 0 0,9 8-6 0 0,-8-8 27 0 0,-4-2 64 0 0,0 1-1 0 0,0-1 1 0 0,0 0 0 0 0,0 1 0 0 0,0-1 0 0 0,0 0 0 0 0,0 0-1 0 0,0 1 1 0 0,0-1 0 0 0,0 0 0 0 0,1 1 0 0 0,-1-1-1 0 0,0 0 1 0 0,0 1 0 0 0,0-1 0 0 0,1 0 0 0 0,-1 0 0 0 0,0 1-1 0 0,0-1 1 0 0,1 0 0 0 0,-1 0 0 0 0,0 0 0 0 0,0 1-1 0 0,1-1 1 0 0,-1 0 0 0 0,1 0 1 0 0,-1 0 0 0 0,1 1 0 0 0,-1-1-1 0 0,0 0 1 0 0,1 0 0 0 0,-1 0 0 0 0,0 1 0 0 0,1-1-1 0 0,-1 0 1 0 0,0 1 0 0 0,0-1 0 0 0,1 0 0 0 0,-1 1-1 0 0,0-1 1 0 0,0 0 0 0 0,0 1 0 0 0,1-1 0 0 0,-1 1-1 0 0,0-1 1 0 0,0 0 0 0 0,0 1 0 0 0,0-1 0 0 0,0 1 0 0 0,0-1-1 0 0,0 0 1 0 0,0 1 0 0 0,0-1 0 0 0,0 1 0 0 0,0-1-1 0 0,0 0 1 0 0,0 1 0 0 0,0 0 0 0 0,0 0-10 0 0,0 0 9 0 0,0 0-1 0 0,0 0 1 0 0,0 0-1 0 0,0-1 1 0 0,0 1 0 0 0,0 0-1 0 0,0 0 1 0 0,0 0-1 0 0,-1-1 1 0 0,1 1 0 0 0,0 0-1 0 0,0 0 1 0 0,-1-1-1 0 0,1 1 1 0 0,-1 0 0 0 0,1 0-1 0 0,0-1 1 0 0,-1 1-1 0 0,0 1 1 0 0,-5 4-140 0 0,0-1 0 0 0,-1 1 0 0 0,1-1 0 0 0,-1 0 0 0 0,-9 5 0 0 0,-2 1-1017 0 0,0-1-1208 0 0,5 1-8400 0 0</inkml:trace>
  <inkml:trace contextRef="#ctx0" brushRef="#br0" timeOffset="14956.21">5792 494 1316 0 0,'0'0'1704'0'0,"3"-10"988"0"0,-2 4 839 0 0,-10-31 10452 0 0,5 37-13688 0 0,-12 2-24 0 0,12-1-34 0 0,2 1-13 0 0,-16 25 451 0 0,17-23-578 0 0,-1-2-26 0 0,-1 1-71 0 0,2 0 1 0 0,-1 0-1 0 0,0 0 0 0 0,1 1 0 0 0,-1-1 0 0 0,1 0 0 0 0,0 1 0 0 0,0-1 0 0 0,0 1 1 0 0,0 3-1 0 0,5-7 10 0 0,14 1 10 0 0,-13-1 34 0 0,11-8 12 0 0,-13 6-67 0 0,0 1-213 0 0,10-3 193 0 0,-9 2-21 0 0,18 45-466 0 0,-21-41 424 0 0,5 3-209 0 0,-6-5 288 0 0,1 1-1 0 0,-1-1 0 0 0,0 0 1 0 0,0 1-1 0 0,0-1 0 0 0,1 0 1 0 0,-1 1-1 0 0,0-1 0 0 0,0 0 1 0 0,1 0-1 0 0,-1 1 0 0 0,0-1 0 0 0,0 0 1 0 0,1 0-1 0 0,-1 0 0 0 0,0 1 1 0 0,1-1-1 0 0,-1 0 0 0 0,0 0 1 0 0,1 0-1 0 0,-1 0 0 0 0,0 0 1 0 0,1 1-1 0 0,-1-1 0 0 0,0 0 0 0 0,1 0 1 0 0,-1 0-1 0 0,1 0 0 0 0,-1 0 1 0 0,0 0-1 0 0,1 0 0 0 0,-1 0 1 0 0,0-1-1 0 0,1 1 0 0 0,-1 0 1 0 0,1 0-1 0 0,13-4-16 0 0,-10 3-14 0 0,7-10-5 0 0,-7 7 35 0 0,2-4-14 0 0,0-1 0 0 0,-1 1 0 0 0,0-1 0 0 0,-1-1 0 0 0,4-11 0 0 0,4-18 147 0 0,-3-1-1 0 0,-1 0 0 0 0,3-51 1 0 0,-4 34 207 0 0,4-60 1106 0 0,-10 114-1354 0 0,-2-5 15 0 0,1 8-97 0 0,0 0 1 0 0,0 0-1 0 0,0 0 0 0 0,0 0 1 0 0,0 0-1 0 0,-1 1 0 0 0,1-1 1 0 0,0 0-1 0 0,0 0 1 0 0,0 0-1 0 0,0 0 0 0 0,0 0 1 0 0,0 0-1 0 0,0 0 0 0 0,0 0 1 0 0,-1 0-1 0 0,1 0 1 0 0,0 0-1 0 0,0 0 0 0 0,0 0 1 0 0,0 0-1 0 0,0 0 1 0 0,0 0-1 0 0,0 0 0 0 0,0 0 1 0 0,-1 0-1 0 0,1 0 0 0 0,0 0 1 0 0,0 0-1 0 0,0 0 1 0 0,0 0-1 0 0,0 0 0 0 0,0-1 1 0 0,0 1-1 0 0,0 0 0 0 0,0 0 1 0 0,-1 0-1 0 0,1 0 1 0 0,0 0-1 0 0,0 0 0 0 0,0 0 1 0 0,0 0-1 0 0,0 0 1 0 0,0 0-1 0 0,0-1 0 0 0,0 1 1 0 0,0 0-1 0 0,0 0 0 0 0,0 0 1 0 0,0 0-1 0 0,0 0 1 0 0,0 0-1 0 0,0 0 0 0 0,0 0 1 0 0,0-1-1 0 0,0 1 0 0 0,0 0 1 0 0,0 0-1 0 0,0 0 1 0 0,0 0-1 0 0,0 0 0 0 0,0 0 1 0 0,0 0-1 0 0,0 0 1 0 0,0-1-1 0 0,0 1 0 0 0,0 0 1 0 0,0 0-1 0 0,-6 11 26 0 0,1 0 0 0 0,-1 0 0 0 0,2 0 0 0 0,0 1 0 0 0,0 0 0 0 0,-3 22 0 0 0,-7 80-207 0 0,12-92-42 0 0,1 0 0 0 0,1 1 0 0 0,0-1 0 0 0,2 0 0 0 0,6 28 0 0 0,-6-45 115 0 0,0 0 0 0 0,0 0 0 0 0,0-1 0 0 0,1 1 0 0 0,3 5 1 0 0,-5-8 70 0 0,0 1-127 0 0,3-1 32 0 0,-1-1 84 0 0,0 1 0 0 0,0-1 0 0 0,0 1 0 0 0,0-1 1 0 0,1 0-1 0 0,-1 0 0 0 0,0-1 0 0 0,7 1 1 0 0,-6-1-33 0 0,-1-1 33 0 0,4-3 149 0 0,-1 0 1 0 0,1-1-1 0 0,-1 1 0 0 0,-1-1 1 0 0,1-1-1 0 0,-1 1 1 0 0,0-1-1 0 0,0 0 0 0 0,0 0 1 0 0,-1 0-1 0 0,7-13 1 0 0,-10 17 205 0 0,0 1-224 0 0,1 0 1 0 0,-1 0-1 0 0,0 0 0 0 0,0 0 0 0 0,0-1 0 0 0,0 1 1 0 0,-1 0-1 0 0,1-1 0 0 0,0 1 0 0 0,0 0 0 0 0,0-4 0 0 0,4-3 616 0 0,-5 19-611 0 0,0-9-68 0 0,0 15 23 0 0,0-11-122 0 0,0 0-1 0 0,1 1 0 0 0,0-1 0 0 0,1 0 0 0 0,1 7 0 0 0,-2-11-59 0 0,6 15-251 0 0,-7-17 382 0 0,1 0 0 0 0,-1 0 0 0 0,0 0 0 0 0,1 0 1 0 0,-1 0-1 0 0,0 0 0 0 0,1 0 0 0 0,-1 0 0 0 0,0 0 0 0 0,0 0 0 0 0,1 0 1 0 0,-1 1-1 0 0,0-1 0 0 0,1 0 0 0 0,-1 0 0 0 0,0 0 0 0 0,0 1 1 0 0,0-1-1 0 0,1 0 0 0 0,-1 0 0 0 0,0 1 0 0 0,0-1 0 0 0,0 0 0 0 0,1 0 1 0 0,-1 1-1 0 0,0-1 0 0 0,0 0 0 0 0,0 1 0 0 0,0 0-4 0 0,1-1 0 0 0,-1 0-1 0 0,0 1 1 0 0,0-1 0 0 0,0 1 0 0 0,1-1-1 0 0,-1 0 1 0 0,0 1 0 0 0,1-1-1 0 0,-1 0 1 0 0,0 1 0 0 0,1-1 0 0 0,-1 0-1 0 0,0 1 1 0 0,1-1 0 0 0,-1 0-1 0 0,0 0 1 0 0,1 0 0 0 0,-1 1 0 0 0,1-1-1 0 0,-1 0 1 0 0,1 0 0 0 0,-1 0-1 0 0,0 0 1 0 0,1 0 0 0 0,-1 0 0 0 0,1 0-1 0 0,-1 0 1 0 0,1 0 0 0 0,-1 0-1 0 0,1 0 1 0 0,-1 0 0 0 0,0 0 0 0 0,1 0-1 0 0,15-2-30 0 0,-12 1-2 0 0,-2 0 16 0 0,8-7 11 0 0,-6 4 60 0 0,-1-1-1 0 0,1-1 1 0 0,-1 1-1 0 0,0 0 1 0 0,0-1-1 0 0,-1 0 1 0 0,1 1-1 0 0,-1-1 1 0 0,0 0-1 0 0,-1 0 1 0 0,0 0-1 0 0,1-8 1 0 0,8-81 706 0 0,-10 92-764 0 0,0 0 17 0 0,-2-6-4 0 0,2 6-22 0 0,-4 4-1 0 0,-11 4-1 0 0,12-4-17 0 0,1 2 9 0 0,-4 7 7 0 0,4-7-7 0 0,2 0-14 0 0,-1 0-6 0 0,1 0 0 0 0,0 1 0 0 0,0-1-1 0 0,1 1 1 0 0,-1-1 0 0 0,1 1 0 0 0,-1-1 0 0 0,1 1-1 0 0,0-1 1 0 0,3 6 0 0 0,-3-6-78 0 0,1-3 106 0 0,-1 1 0 0 0,0 0 0 0 0,1-1 0 0 0,-1 1 0 0 0,0 0 0 0 0,0 0 0 0 0,0 0 0 0 0,0 0 0 0 0,0 0-1 0 0,0 0 1 0 0,1 2 0 0 0,1-1-118 0 0,0 1 5 0 0,11 6 20 0 0,-11-7 11 0 0,0 1 7 0 0,24 22-295 0 0,-24-22 287 0 0,-3-3 102 0 0,0 1-1 0 0,0-1 1 0 0,0 0 0 0 0,0 0-1 0 0,0 1 1 0 0,0-1-1 0 0,0 0 1 0 0,0 1-1 0 0,0-1 1 0 0,0 0 0 0 0,0 0-1 0 0,0 1 1 0 0,1-1-1 0 0,-1 0 1 0 0,0 0-1 0 0,0 1 1 0 0,0-1 0 0 0,0 0-1 0 0,1 0 1 0 0,-1 0-1 0 0,0 1 1 0 0,0-1 0 0 0,0 0-1 0 0,1 0 1 0 0,-1 0-1 0 0,0 0 1 0 0,0 1-1 0 0,1-1 1 0 0,-1 0 0 0 0,1 0-4 0 0,-1 0 1 0 0,0 1 0 0 0,1-1-1 0 0,-1 0 1 0 0,1 1 0 0 0,-1-1 0 0 0,0 0-1 0 0,1 1 1 0 0,-1-1 0 0 0,0 0 0 0 0,1 1-1 0 0,-1-1 1 0 0,0 1 0 0 0,1-1 0 0 0,-1 1-1 0 0,0-1 1 0 0,0 1 0 0 0,0-1 0 0 0,0 1-1 0 0,1-1 1 0 0,-1 1 0 0 0,0-1-1 0 0,0 1 1 0 0,0 0 0 0 0,0 4-142 0 0,-1-1 0 0 0,1 1 1 0 0,-1-1-1 0 0,0 1 0 0 0,0-1 1 0 0,0 0-1 0 0,0 1 0 0 0,-3 3 0 0 0,3-5-432 0 0,-1-1-244 0 0,-3 4 899 0 0,-13 12-13381 0 0</inkml:trace>
  <inkml:trace contextRef="#ctx0" brushRef="#br0" timeOffset="15192.31">5774 855 1412 0 0,'0'0'10137'0'0,"24"-3"-10069"0"0,-1-8-1128 0 0</inkml:trace>
  <inkml:trace contextRef="#ctx0" brushRef="#br0" timeOffset="15420.89">5806 862 6085 0 0,'-4'2'311'0'0,"-28"17"1443"0"0,29-17-1028 0 0,2-1-609 0 0,0-1 0 0 0,0 1 0 0 0,0 0 0 0 0,-1-1 0 0 0,1 1 0 0 0,0 0 0 0 0,0 0 0 0 0,0 0 0 0 0,0 0-1 0 0,0 0 1 0 0,-1 2 0 0 0,2-3 12 0 0,-3 2 1445 0 0,-2 3-699 0 0,2-1 4830 0 0,43-21-6621 0 0,-7 0-7584 0 0,-29 15 6445 0 0,17-8-3180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1T05:49:52.3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0 820 0 0,'0'0'10082'0'0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1T05:49:53.2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1 764 0 0,'0'0'7025'0'0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1T05:49:54.0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10 1656 0 0,'0'0'24084'0'0,"0"-1"-24849"0"0,1-5 4617 0 0,-1 3-5252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1T05:49:55.7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 0 1196 0 0,'0'0'2760'0'0,"-11"14"1241"0"0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24:08.770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8 229 532 0 0,'-8'-3'20467'0'0,"22"18"-17420"0"0,24 20-2562 0 0,-33-31-166 0 0,1 1 0 0 0,0-1 1 0 0,0-1-1 0 0,6 4 0 0 0,-9-5 110 0 0,3-2 25 0 0,-2 0-398 0 0,-1 1 52 0 0,0-1 0 0 0,0 0 0 0 0,0 0 0 0 0,1 0 0 0 0,-1 0 0 0 0,0-1 0 0 0,0 1 0 0 0,0-1 0 0 0,0 0 0 0 0,0 0-1 0 0,0 0 1 0 0,0 0 0 0 0,0 0 0 0 0,0-1 0 0 0,5-2 0 0 0,28-28 681 0 0,-1-2 0 0 0,-2 0 0 0 0,41-55 0 0 0,-42 51-220 0 0,-10 9-635 0 0,-20 27-214 0 0,-1 0-6 0 0,0 0 0 0 0,0 0 0 0 0,0 0 0 0 0,1 0 1 0 0,-1 0-1 0 0,1 0 0 0 0,-1 1 0 0 0,1-1 0 0 0,-1 1 1 0 0,1-1-1 0 0,0 1 0 0 0,0 0 0 0 0,2-2 0 0 0,1 0-3963 0 0,4 1-9813 0 0,15 4 6059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24:09.409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13 51 168 0 0,'0'0'3324'0'0,"-2"2"-1738"0"0,-3 3-1893 0 0,0 7 11353 0 0,5-6-9606 0 0,1-3-577 0 0,0 0-15 0 0,13 28 2293 0 0,22 36 0 0 0,-34-64-2870 0 0,0 0 1 0 0,1 0 0 0 0,-1 0 0 0 0,1 0-1 0 0,0 0 1 0 0,5 3 0 0 0,-2-1 171 0 0,-4-3 136 0 0,13 2 224 0 0,-14-3-767 0 0,0-1-1 0 0,0 1 0 0 0,0-1 1 0 0,0 1-1 0 0,0-1 0 0 0,0 0 1 0 0,0 0-1 0 0,0 1 0 0 0,0-1 1 0 0,0 0-1 0 0,1 0 0 0 0,-1 0 1 0 0,0 0-1 0 0,0 0 0 0 0,0 0 1 0 0,0-1-1 0 0,0 1 0 0 0,0 0 1 0 0,0-1-1 0 0,2 0 0 0 0,8-2 136 0 0,0-2 0 0 0,0 0 0 0 0,0 0 0 0 0,-1-1 0 0 0,16-11-1 0 0,53-45 1304 0 0,-20 13-925 0 0,-15 15-1026 0 0,-13 13-3038 0 0,-28 19 2155 0 0,-1 1 1 0 0,1 0-1 0 0,-1 0 1 0 0,1 0-1 0 0,-1 1 1 0 0,1-1-1 0 0,0 1 0 0 0,4-1 1 0 0,4 19-13324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24:10.407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49 340 776 0 0,'-2'-2'1590'0'0,"-14"-26"4112"0"0,14 25-4417 0 0,0-1-50 0 0,-19-42 5135 0 0,20 43-5413 0 0,-1 0-53 0 0,0-8 4762 0 0,6 14-2278 0 0,2 2-4627 0 0,-3-3 1610 0 0,-3-2-346 0 0,0 1-1 0 0,0-1 1 0 0,0 1-1 0 0,0-1 1 0 0,0 1-1 0 0,0-1 1 0 0,1 1 0 0 0,-1-1-1 0 0,0 0 1 0 0,0 1-1 0 0,0-1 1 0 0,1 1-1 0 0,-1-1 1 0 0,0 0-1 0 0,1 1 1 0 0,-1-1 0 0 0,0 0-1 0 0,1 0 1 0 0,-1 1-1 0 0,1-1 1 0 0,0 1-1 0 0,9 10 471 0 0,-3 2-167 0 0,-5-10 3 0 0,-1-2-287 0 0,0-1 0 0 0,0 1 0 0 0,0-1 1 0 0,0 1-1 0 0,0-1 0 0 0,0 1 0 0 0,0 0 0 0 0,0 0 0 0 0,0-1 0 0 0,0 1 0 0 0,0 0 0 0 0,1 1 0 0 0,-1-1 32 0 0,2 1 289 0 0,1-1-4 0 0,12 1-14 0 0,-12-2 17 0 0,1-1-17 0 0,0 1-242 0 0,-3 0-70 0 0,-1-1 0 0 0,1 1 0 0 0,0 0 1 0 0,-1 0-1 0 0,1-1 0 0 0,0 1 0 0 0,-1-1 0 0 0,1 1 1 0 0,-1-1-1 0 0,1 0 0 0 0,-1 0 0 0 0,1 1 0 0 0,-1-1 1 0 0,3-3-1 0 0,50-37 310 0 0,48-50-1 0 0,9-7-31 0 0,-38 42-3199 0 0,-70 54 1909 0 0,2 2-88 0 0,17-2-1522 0 0,-19 6-181 0 0,-1-2 1877 0 0,1 0-296 0 0,-1 0 0 0 0,0 0 0 0 0,0 1 0 0 0,0-1 0 0 0,-1 1 0 0 0,1 0 0 0 0,-1-1 0 0 0,1 1 0 0 0,1 6 0 0 0,1 7-6680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24:11.147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10 256 540 0 0,'0'0'1815'0'0,"-1"-3"-72"0"0,-4-7-1941 0 0,1-6 16779 0 0,14 20-16429 0 0,-7-2 399 0 0,0 0-17 0 0,10 8-5 0 0,-10-8-9 0 0,1 0 2 0 0,13 6 3 0 0,-13-6 28 0 0,1-2 13 0 0,2 1-191 0 0,0-1 0 0 0,0-1 0 0 0,0 1 0 0 0,0-1 0 0 0,10-3 0 0 0,-7-1-134 0 0,1 0 1 0 0,-1-1-1 0 0,0 0 0 0 0,0-1 1 0 0,-1 0-1 0 0,0 0 0 0 0,0-1 1 0 0,14-16-1 0 0,-10 11 31 0 0,115-126 1095 0 0,-125 136-1675 0 0,13-9-683 0 0,-12 10 339 0 0,-2-1-46 0 0,3-2 22 0 0,-5 5 330 0 0,0 0-1 0 0,1 0 1 0 0,-1-1 0 0 0,0 1-1 0 0,1 0 1 0 0,-1 0 0 0 0,0 0-1 0 0,1 0 1 0 0,-1 0 0 0 0,1-1-1 0 0,-1 1 1 0 0,0 0 0 0 0,1 0-1 0 0,-1 0 1 0 0,1 0 0 0 0,-1 0 0 0 0,0 0-1 0 0,1 0 1 0 0,-1 0 0 0 0,1 0-1 0 0,-1 0 1 0 0,0 1 0 0 0,1-1-1 0 0,-1 0 1 0 0,0 0 0 0 0,1 0-1 0 0,-1 0 1 0 0,0 1 0 0 0,1-1-1 0 0,0 0 1 0 0,4 4-1646 0 0,-3 1-3833 0 0,-2 9-1435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44:05.814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0 0 1112 0 0,'0'0'2716'0'0,"7"18"-4924"0"0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45:26.303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1 0 352 0 0,'0'0'22435'0'0,"23"6"-37705"0"0,-18-5 9609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45:27.317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1 1 1356 0 0,'0'0'29143'0'0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27T05:58:05.212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11 1 1280 0 0,'0'0'24125'0'0,"-11"11"-40932"0"0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B971-6C4C-446B-9976-0E7E84D99F42}">
  <dimension ref="A1:S999"/>
  <sheetViews>
    <sheetView showGridLines="0" tabSelected="1" zoomScale="32" workbookViewId="0">
      <selection activeCell="D74" sqref="D74"/>
    </sheetView>
  </sheetViews>
  <sheetFormatPr defaultColWidth="14.453125" defaultRowHeight="15" customHeight="1" x14ac:dyDescent="0.35"/>
  <cols>
    <col min="1" max="1" width="8.90625" customWidth="1"/>
    <col min="2" max="2" width="44.54296875" customWidth="1"/>
    <col min="3" max="3" width="18.453125" customWidth="1"/>
    <col min="4" max="4" width="20.1796875" bestFit="1" customWidth="1"/>
    <col min="5" max="5" width="17.08984375" customWidth="1"/>
    <col min="6" max="6" width="11.90625" customWidth="1"/>
    <col min="7" max="7" width="12.453125" bestFit="1" customWidth="1"/>
    <col min="8" max="8" width="8.90625" customWidth="1"/>
    <col min="9" max="9" width="12.453125" customWidth="1"/>
    <col min="10" max="10" width="19.1796875" customWidth="1"/>
    <col min="11" max="13" width="9.54296875" bestFit="1" customWidth="1"/>
    <col min="14" max="26" width="8.6328125" customWidth="1"/>
  </cols>
  <sheetData>
    <row r="1" spans="1:19" ht="14.25" customHeight="1" x14ac:dyDescent="0.35">
      <c r="A1" s="132"/>
      <c r="B1" s="133" t="s">
        <v>201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spans="1:19" ht="14.25" customHeight="1" x14ac:dyDescent="0.35">
      <c r="A2" s="132"/>
      <c r="B2" s="134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</row>
    <row r="3" spans="1:19" ht="14.25" customHeight="1" x14ac:dyDescent="0.35">
      <c r="A3" s="132"/>
      <c r="B3" s="132" t="s">
        <v>14</v>
      </c>
      <c r="C3" s="135">
        <v>45138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</row>
    <row r="4" spans="1:19" ht="14.25" customHeight="1" x14ac:dyDescent="0.35">
      <c r="A4" s="132"/>
      <c r="B4" s="132" t="s">
        <v>202</v>
      </c>
      <c r="C4" s="135">
        <v>45094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</row>
    <row r="5" spans="1:19" ht="14.25" customHeight="1" x14ac:dyDescent="0.35">
      <c r="A5" s="132"/>
      <c r="B5" s="132" t="s">
        <v>203</v>
      </c>
      <c r="C5" s="136" t="str">
        <f>IF(D5=A59,B59,B60)</f>
        <v>Year end discounting</v>
      </c>
      <c r="D5" s="132">
        <v>2</v>
      </c>
      <c r="E5" s="137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</row>
    <row r="6" spans="1:19" ht="14.25" customHeight="1" x14ac:dyDescent="0.35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</row>
    <row r="7" spans="1:19" ht="14.25" customHeight="1" x14ac:dyDescent="0.35">
      <c r="A7" s="138"/>
      <c r="B7" s="139"/>
      <c r="C7" s="13">
        <v>6</v>
      </c>
      <c r="D7" s="13">
        <v>12</v>
      </c>
      <c r="E7" s="13">
        <v>12</v>
      </c>
      <c r="F7" s="13">
        <v>12</v>
      </c>
      <c r="G7" s="13">
        <v>12</v>
      </c>
      <c r="H7" s="140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</row>
    <row r="8" spans="1:19" ht="14.25" customHeight="1" x14ac:dyDescent="0.35">
      <c r="A8" s="138"/>
      <c r="B8" s="139" t="s">
        <v>204</v>
      </c>
      <c r="C8" s="141" t="s">
        <v>21</v>
      </c>
      <c r="D8" s="141" t="s">
        <v>22</v>
      </c>
      <c r="E8" s="141" t="s">
        <v>23</v>
      </c>
      <c r="F8" s="141" t="s">
        <v>24</v>
      </c>
      <c r="G8" s="141" t="s">
        <v>25</v>
      </c>
      <c r="H8" s="140"/>
      <c r="I8" s="138"/>
      <c r="J8" s="132"/>
      <c r="K8" s="142"/>
      <c r="L8" s="138"/>
      <c r="M8" s="138"/>
      <c r="N8" s="138"/>
      <c r="O8" s="138"/>
      <c r="P8" s="138"/>
      <c r="Q8" s="138"/>
      <c r="R8" s="138"/>
      <c r="S8" s="138"/>
    </row>
    <row r="9" spans="1:19" ht="14.25" customHeight="1" x14ac:dyDescent="0.35">
      <c r="A9" s="138"/>
      <c r="B9" s="139"/>
      <c r="C9" s="143"/>
      <c r="D9" s="143"/>
      <c r="E9" s="143"/>
      <c r="F9" s="143"/>
      <c r="G9" s="143"/>
      <c r="H9" s="140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</row>
    <row r="10" spans="1:19" ht="14.25" customHeight="1" x14ac:dyDescent="0.35">
      <c r="A10" s="132"/>
      <c r="B10" s="132" t="s">
        <v>205</v>
      </c>
      <c r="C10" s="137">
        <f>'PepsiCo-IS'!G22</f>
        <v>9563.115761965757</v>
      </c>
      <c r="D10" s="137">
        <f>'PepsiCo-IS'!I22</f>
        <v>15658.592204325563</v>
      </c>
      <c r="E10" s="137">
        <f>'PepsiCo-IS'!J22</f>
        <v>16976.877637576108</v>
      </c>
      <c r="F10" s="137">
        <f>'PepsiCo-IS'!K22</f>
        <v>18409.164735176135</v>
      </c>
      <c r="G10" s="137">
        <f>'PepsiCo-IS'!L22</f>
        <v>19965.756956727055</v>
      </c>
      <c r="H10" s="137"/>
      <c r="I10" s="132"/>
      <c r="J10" s="132" t="s">
        <v>31</v>
      </c>
      <c r="K10" s="132"/>
      <c r="L10" s="132"/>
      <c r="M10" s="132"/>
      <c r="N10" s="132"/>
      <c r="O10" s="132"/>
      <c r="P10" s="132"/>
      <c r="Q10" s="132"/>
      <c r="R10" s="132"/>
      <c r="S10" s="132"/>
    </row>
    <row r="11" spans="1:19" ht="14.25" customHeight="1" x14ac:dyDescent="0.35">
      <c r="A11" s="132"/>
      <c r="B11" s="132" t="s">
        <v>206</v>
      </c>
      <c r="C11" s="142">
        <f>'PepsiCo-IS'!G59</f>
        <v>0.21645768025078371</v>
      </c>
      <c r="D11" s="142">
        <f>'PepsiCo-IS'!I59</f>
        <v>0.21975928100622888</v>
      </c>
      <c r="E11" s="142">
        <f>'PepsiCo-IS'!J59</f>
        <v>0.23566585573899768</v>
      </c>
      <c r="F11" s="142">
        <f>'PepsiCo-IS'!K59</f>
        <v>0.25157243047176647</v>
      </c>
      <c r="G11" s="142">
        <f>'PepsiCo-IS'!L59</f>
        <v>0.26747900520453527</v>
      </c>
      <c r="H11" s="14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spans="1:19" ht="14.25" customHeight="1" x14ac:dyDescent="0.35">
      <c r="A12" s="138"/>
      <c r="B12" s="138" t="s">
        <v>207</v>
      </c>
      <c r="C12" s="144">
        <f>C10*(1-C11)</f>
        <v>7493.1059081609437</v>
      </c>
      <c r="D12" s="144">
        <f t="shared" ref="D12:G12" si="0">D10*(1-D11)</f>
        <v>12217.471239933237</v>
      </c>
      <c r="E12" s="144">
        <f t="shared" si="0"/>
        <v>12976.007241340481</v>
      </c>
      <c r="F12" s="144">
        <f t="shared" si="0"/>
        <v>13777.926419792742</v>
      </c>
      <c r="G12" s="144">
        <f t="shared" si="0"/>
        <v>14625.336147786173</v>
      </c>
      <c r="H12" s="145"/>
      <c r="I12" s="132"/>
      <c r="J12" s="138"/>
      <c r="K12" s="138"/>
      <c r="L12" s="138"/>
      <c r="M12" s="138"/>
      <c r="N12" s="138"/>
      <c r="O12" s="138"/>
      <c r="P12" s="138"/>
      <c r="Q12" s="138"/>
      <c r="R12" s="138"/>
      <c r="S12" s="138"/>
    </row>
    <row r="13" spans="1:19" ht="14.25" customHeight="1" x14ac:dyDescent="0.35">
      <c r="A13" s="132"/>
      <c r="B13" s="146" t="s">
        <v>208</v>
      </c>
      <c r="C13" s="147">
        <f>'Pepsico-CFS'!B8</f>
        <v>1655.9079825572508</v>
      </c>
      <c r="D13" s="147">
        <f>'Pepsico-CFS'!C8</f>
        <v>3580.5255854310208</v>
      </c>
      <c r="E13" s="147">
        <f>'Pepsico-CFS'!D8</f>
        <v>3870.9445636983824</v>
      </c>
      <c r="F13" s="147">
        <f>'Pepsico-CFS'!E8</f>
        <v>4187.0863837589877</v>
      </c>
      <c r="G13" s="147">
        <f>'Pepsico-CFS'!F8</f>
        <v>4531.241943903201</v>
      </c>
      <c r="H13" s="147"/>
      <c r="I13" s="132"/>
      <c r="J13" s="132"/>
      <c r="K13" s="142"/>
      <c r="L13" s="132"/>
      <c r="M13" s="132"/>
      <c r="N13" s="132"/>
      <c r="O13" s="132"/>
      <c r="P13" s="132"/>
      <c r="Q13" s="132"/>
      <c r="R13" s="132"/>
      <c r="S13" s="132"/>
    </row>
    <row r="14" spans="1:19" ht="14.25" customHeight="1" x14ac:dyDescent="0.35">
      <c r="A14" s="132"/>
      <c r="B14" s="146" t="s">
        <v>209</v>
      </c>
      <c r="C14" s="147">
        <f>SUM('Pepsico-CFS'!B11:B14)</f>
        <v>4638.9017199825139</v>
      </c>
      <c r="D14" s="147">
        <f>SUM('Pepsico-CFS'!C11:C14)</f>
        <v>916.44748639273143</v>
      </c>
      <c r="E14" s="147">
        <f>SUM('Pepsico-CFS'!D11:D14)</f>
        <v>757.5931442110691</v>
      </c>
      <c r="F14" s="147">
        <f>SUM('Pepsico-CFS'!E11:E14)</f>
        <v>823.39412490962354</v>
      </c>
      <c r="G14" s="147">
        <f>SUM('Pepsico-CFS'!F11:F14)</f>
        <v>895.12621335321023</v>
      </c>
      <c r="H14" s="137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</row>
    <row r="15" spans="1:19" ht="14.25" customHeight="1" x14ac:dyDescent="0.35">
      <c r="A15" s="132"/>
      <c r="B15" s="146" t="s">
        <v>210</v>
      </c>
      <c r="C15" s="147">
        <f>'Pepsico-CFS'!B19</f>
        <v>-6708.4558553002753</v>
      </c>
      <c r="D15" s="147">
        <f>'Pepsico-CFS'!C19</f>
        <v>-4224.2601792242604</v>
      </c>
      <c r="E15" s="147">
        <f>'Pepsico-CFS'!D19</f>
        <v>-6342.5552869851999</v>
      </c>
      <c r="F15" s="147">
        <f>'Pepsico-CFS'!E19</f>
        <v>-6882.0533393802107</v>
      </c>
      <c r="G15" s="147">
        <f>'Pepsico-CFS'!F19</f>
        <v>-7469.2154886825665</v>
      </c>
      <c r="H15" s="137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</row>
    <row r="16" spans="1:19" ht="14.25" customHeight="1" x14ac:dyDescent="0.35">
      <c r="A16" s="138"/>
      <c r="B16" s="138" t="s">
        <v>211</v>
      </c>
      <c r="C16" s="144">
        <f>C12+C13+C15+C14</f>
        <v>7079.4597554004322</v>
      </c>
      <c r="D16" s="144">
        <f t="shared" ref="D16:G16" si="1">D12+D13+D15+D14</f>
        <v>12490.18413253273</v>
      </c>
      <c r="E16" s="144">
        <f t="shared" si="1"/>
        <v>11261.989662264734</v>
      </c>
      <c r="F16" s="144">
        <f t="shared" si="1"/>
        <v>11906.353589081144</v>
      </c>
      <c r="G16" s="144">
        <f t="shared" si="1"/>
        <v>12582.488816360019</v>
      </c>
      <c r="H16" s="145"/>
      <c r="I16" s="148"/>
      <c r="J16" s="138"/>
      <c r="K16" s="138"/>
      <c r="L16" s="138"/>
      <c r="M16" s="138"/>
      <c r="N16" s="138"/>
      <c r="O16" s="138"/>
      <c r="P16" s="138"/>
      <c r="Q16" s="138"/>
      <c r="R16" s="138"/>
      <c r="S16" s="138"/>
    </row>
    <row r="17" spans="1:19" ht="14.25" customHeight="1" x14ac:dyDescent="0.35">
      <c r="A17" s="269">
        <f>WACC!N8</f>
        <v>6.6785734420283141E-2</v>
      </c>
      <c r="B17" s="132" t="s">
        <v>212</v>
      </c>
      <c r="C17" s="137">
        <f>C16*$A$17</f>
        <v>472.80691906325592</v>
      </c>
      <c r="D17" s="137">
        <f t="shared" ref="D17:G17" si="2">D16*$A$17</f>
        <v>834.16612033576541</v>
      </c>
      <c r="E17" s="137">
        <f t="shared" si="2"/>
        <v>752.14025062798669</v>
      </c>
      <c r="F17" s="137">
        <f t="shared" si="2"/>
        <v>795.1745687143582</v>
      </c>
      <c r="G17" s="137">
        <f t="shared" si="2"/>
        <v>840.33075643560301</v>
      </c>
      <c r="H17" s="137"/>
      <c r="I17" s="132"/>
      <c r="J17" s="135"/>
      <c r="K17" s="135"/>
      <c r="L17" s="135"/>
      <c r="M17" s="132"/>
      <c r="N17" s="132"/>
      <c r="O17" s="132"/>
      <c r="P17" s="132"/>
      <c r="Q17" s="132"/>
      <c r="R17" s="132"/>
      <c r="S17" s="132"/>
    </row>
    <row r="18" spans="1:19" ht="14.25" customHeight="1" x14ac:dyDescent="0.35">
      <c r="A18" s="148"/>
      <c r="B18" s="132" t="s">
        <v>213</v>
      </c>
      <c r="C18" s="149">
        <v>0.5</v>
      </c>
      <c r="D18" s="149">
        <f>C18+1</f>
        <v>1.5</v>
      </c>
      <c r="E18" s="149">
        <f t="shared" ref="E18:G19" si="3">D18+1</f>
        <v>2.5</v>
      </c>
      <c r="F18" s="149">
        <f t="shared" si="3"/>
        <v>3.5</v>
      </c>
      <c r="G18" s="149">
        <f t="shared" si="3"/>
        <v>4.5</v>
      </c>
      <c r="H18" s="150"/>
      <c r="I18" s="150"/>
      <c r="J18" s="132"/>
      <c r="K18" s="132"/>
      <c r="L18" s="132"/>
      <c r="M18" s="132"/>
      <c r="N18" s="132"/>
      <c r="O18" s="132"/>
      <c r="P18" s="132"/>
      <c r="Q18" s="132"/>
      <c r="R18" s="132"/>
      <c r="S18" s="132"/>
    </row>
    <row r="19" spans="1:19" ht="14.25" customHeight="1" x14ac:dyDescent="0.35">
      <c r="A19" s="148"/>
      <c r="B19" s="132" t="s">
        <v>214</v>
      </c>
      <c r="C19" s="149">
        <f>0.25</f>
        <v>0.25</v>
      </c>
      <c r="D19" s="149">
        <v>1</v>
      </c>
      <c r="E19" s="149">
        <f>D19+1</f>
        <v>2</v>
      </c>
      <c r="F19" s="149">
        <f t="shared" si="3"/>
        <v>3</v>
      </c>
      <c r="G19" s="149">
        <f t="shared" si="3"/>
        <v>4</v>
      </c>
      <c r="H19" s="150"/>
      <c r="I19" s="150"/>
      <c r="J19" s="132"/>
      <c r="K19" s="132"/>
      <c r="L19" s="132"/>
      <c r="M19" s="132"/>
      <c r="N19" s="132"/>
      <c r="O19" s="132"/>
      <c r="P19" s="132"/>
      <c r="Q19" s="132"/>
      <c r="R19" s="132"/>
      <c r="S19" s="132"/>
    </row>
    <row r="20" spans="1:19" ht="14.25" customHeight="1" x14ac:dyDescent="0.35">
      <c r="A20" s="148"/>
      <c r="B20" s="146" t="s">
        <v>215</v>
      </c>
      <c r="C20" s="151">
        <f>1/(1+$A$17)^C18</f>
        <v>0.96819180036161445</v>
      </c>
      <c r="D20" s="151">
        <f t="shared" ref="D20:G21" si="4">1/(1+$A$17)^D18</f>
        <v>0.90757850346372804</v>
      </c>
      <c r="E20" s="151">
        <f t="shared" si="4"/>
        <v>0.85075988005869596</v>
      </c>
      <c r="F20" s="151">
        <f t="shared" si="4"/>
        <v>0.79749836598726098</v>
      </c>
      <c r="G20" s="151">
        <f t="shared" si="4"/>
        <v>0.74757126970828935</v>
      </c>
      <c r="H20" s="152"/>
      <c r="I20" s="152" t="s">
        <v>477</v>
      </c>
      <c r="J20" s="132"/>
      <c r="K20" s="132"/>
      <c r="L20" s="132"/>
      <c r="M20" s="132"/>
      <c r="N20" s="132"/>
      <c r="O20" s="132"/>
      <c r="P20" s="132"/>
      <c r="Q20" s="132"/>
      <c r="R20" s="132"/>
      <c r="S20" s="132"/>
    </row>
    <row r="21" spans="1:19" ht="14.25" customHeight="1" x14ac:dyDescent="0.35">
      <c r="A21" s="132"/>
      <c r="B21" s="146" t="s">
        <v>216</v>
      </c>
      <c r="C21" s="151">
        <f>1/(1+$A$17)^C19</f>
        <v>0.98396737769176801</v>
      </c>
      <c r="D21" s="151">
        <f t="shared" si="4"/>
        <v>0.93739536228746434</v>
      </c>
      <c r="E21" s="151">
        <f t="shared" si="4"/>
        <v>0.87871006523804651</v>
      </c>
      <c r="F21" s="151">
        <f t="shared" si="4"/>
        <v>0.82369873994946008</v>
      </c>
      <c r="G21" s="151">
        <f t="shared" si="4"/>
        <v>0.77213137875065185</v>
      </c>
      <c r="H21" s="137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</row>
    <row r="22" spans="1:19" ht="14.25" customHeight="1" x14ac:dyDescent="0.35">
      <c r="A22" s="132"/>
      <c r="B22" s="132" t="s">
        <v>217</v>
      </c>
      <c r="C22" s="153">
        <f>CHOOSE($D$5,C21,C20)*C16</f>
        <v>6854.2748861687387</v>
      </c>
      <c r="D22" s="153">
        <f>CHOOSE($D$5,D21,D20)*D16</f>
        <v>11335.822622990458</v>
      </c>
      <c r="E22" s="153">
        <f t="shared" ref="E22:G22" si="5">CHOOSE($D$5,E21,E20)*E16</f>
        <v>9581.2489742906182</v>
      </c>
      <c r="F22" s="153">
        <f t="shared" si="5"/>
        <v>9495.2975321587728</v>
      </c>
      <c r="G22" s="153">
        <f t="shared" si="5"/>
        <v>9406.3071405366099</v>
      </c>
      <c r="H22" s="137"/>
      <c r="I22" s="149">
        <f>CHOOSE($D$5,C21,C20)*C16</f>
        <v>6854.2748861687387</v>
      </c>
      <c r="J22" s="149">
        <f t="shared" ref="J22:O22" si="6">CHOOSE($D$5,D21,D20)*D16</f>
        <v>11335.822622990458</v>
      </c>
      <c r="K22" s="149">
        <f t="shared" si="6"/>
        <v>9581.2489742906182</v>
      </c>
      <c r="L22" s="149">
        <f t="shared" si="6"/>
        <v>9495.2975321587728</v>
      </c>
      <c r="M22" s="149">
        <f t="shared" si="6"/>
        <v>9406.3071405366099</v>
      </c>
      <c r="N22" s="149">
        <f t="shared" si="6"/>
        <v>0</v>
      </c>
      <c r="O22" s="149" t="e">
        <f t="shared" si="6"/>
        <v>#VALUE!</v>
      </c>
      <c r="P22" s="154"/>
      <c r="Q22" s="132"/>
      <c r="R22" s="132"/>
      <c r="S22" s="132"/>
    </row>
    <row r="23" spans="1:19" ht="14.25" customHeight="1" x14ac:dyDescent="0.35">
      <c r="A23" s="132"/>
      <c r="B23" s="132"/>
      <c r="C23" s="137"/>
      <c r="D23" s="137"/>
      <c r="E23" s="137"/>
      <c r="F23" s="137"/>
      <c r="G23" s="137"/>
      <c r="H23" s="137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</row>
    <row r="24" spans="1:19" ht="14.25" customHeight="1" x14ac:dyDescent="0.35">
      <c r="A24" s="132"/>
      <c r="B24" s="132" t="s">
        <v>218</v>
      </c>
      <c r="C24" s="137">
        <f>SUM(C22:G22)</f>
        <v>46672.951156145195</v>
      </c>
      <c r="D24" s="132"/>
      <c r="E24" s="132"/>
      <c r="F24" s="132"/>
      <c r="G24" s="132"/>
      <c r="H24" s="137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 spans="1:19" ht="14.25" customHeight="1" thickBot="1" x14ac:dyDescent="0.4">
      <c r="A25" s="132"/>
      <c r="B25" s="132"/>
      <c r="C25" s="132"/>
      <c r="D25" s="137"/>
      <c r="E25" s="137"/>
      <c r="F25" s="137"/>
      <c r="G25" s="137"/>
      <c r="H25" s="137"/>
      <c r="I25" s="132"/>
      <c r="J25" s="280" t="s">
        <v>219</v>
      </c>
      <c r="K25" s="281"/>
      <c r="L25" s="281"/>
      <c r="M25" s="281"/>
      <c r="N25" s="281"/>
      <c r="O25" s="281"/>
      <c r="P25" s="281"/>
      <c r="Q25" s="281"/>
      <c r="R25" s="281"/>
      <c r="S25" s="132"/>
    </row>
    <row r="26" spans="1:19" ht="14.25" customHeight="1" thickBot="1" x14ac:dyDescent="0.4">
      <c r="A26" s="132"/>
      <c r="B26" s="138" t="s">
        <v>220</v>
      </c>
      <c r="C26" s="132"/>
      <c r="D26" s="155" t="s">
        <v>221</v>
      </c>
      <c r="E26" s="145"/>
      <c r="F26" s="137"/>
      <c r="G26" s="137"/>
      <c r="H26" s="137"/>
      <c r="I26" s="156">
        <f>D38</f>
        <v>157.98255300284217</v>
      </c>
      <c r="J26" s="157">
        <v>5.7500000000000002E-2</v>
      </c>
      <c r="K26" s="158">
        <f t="shared" ref="K26:R26" si="7">J26+0.25%</f>
        <v>6.0000000000000005E-2</v>
      </c>
      <c r="L26" s="158">
        <f t="shared" si="7"/>
        <v>6.25E-2</v>
      </c>
      <c r="M26" s="158">
        <f t="shared" si="7"/>
        <v>6.5000000000000002E-2</v>
      </c>
      <c r="N26" s="158">
        <f t="shared" si="7"/>
        <v>6.7500000000000004E-2</v>
      </c>
      <c r="O26" s="158">
        <f t="shared" si="7"/>
        <v>7.0000000000000007E-2</v>
      </c>
      <c r="P26" s="158">
        <f t="shared" si="7"/>
        <v>7.2500000000000009E-2</v>
      </c>
      <c r="Q26" s="158">
        <f t="shared" si="7"/>
        <v>7.5000000000000011E-2</v>
      </c>
      <c r="R26" s="158">
        <f t="shared" si="7"/>
        <v>7.7500000000000013E-2</v>
      </c>
      <c r="S26" s="142"/>
    </row>
    <row r="27" spans="1:19" ht="14.25" customHeight="1" x14ac:dyDescent="0.35">
      <c r="A27" s="132"/>
      <c r="B27" s="132" t="s">
        <v>222</v>
      </c>
      <c r="C27" s="132"/>
      <c r="D27" s="159">
        <v>0.02</v>
      </c>
      <c r="E27" s="145"/>
      <c r="F27" s="137"/>
      <c r="G27" s="137"/>
      <c r="H27" s="282" t="s">
        <v>223</v>
      </c>
      <c r="I27" s="158">
        <v>0.01</v>
      </c>
      <c r="J27" s="160">
        <f t="dataTable" ref="J27:R35" dt2D="1" dtr="1" r1="A17" r2="D27" ca="1"/>
        <v>160.90665682664252</v>
      </c>
      <c r="K27" s="161">
        <v>151.62214255651062</v>
      </c>
      <c r="L27" s="161">
        <v>143.22252932896492</v>
      </c>
      <c r="M27" s="161">
        <v>135.58714053575937</v>
      </c>
      <c r="N27" s="161">
        <v>128.61628692369229</v>
      </c>
      <c r="O27" s="161">
        <v>122.22689422700579</v>
      </c>
      <c r="P27" s="161">
        <v>116.34918016804721</v>
      </c>
      <c r="Q27" s="161">
        <v>110.92409830396511</v>
      </c>
      <c r="R27" s="161">
        <v>105.90134990750653</v>
      </c>
      <c r="S27" s="132"/>
    </row>
    <row r="28" spans="1:19" ht="14.25" customHeight="1" thickBot="1" x14ac:dyDescent="0.4">
      <c r="A28" s="132"/>
      <c r="B28" s="132" t="s">
        <v>224</v>
      </c>
      <c r="C28" s="132"/>
      <c r="D28" s="137">
        <f>G16*(1+D27)/(A17-D27)</f>
        <v>274317.34804879333</v>
      </c>
      <c r="E28" s="137"/>
      <c r="F28" s="137" t="s">
        <v>478</v>
      </c>
      <c r="G28" s="137"/>
      <c r="H28" s="283"/>
      <c r="I28" s="158">
        <f t="shared" ref="I28:I35" si="8">I27+0.25%</f>
        <v>1.2500000000000001E-2</v>
      </c>
      <c r="J28" s="162">
        <v>169.69723567797601</v>
      </c>
      <c r="K28" s="150">
        <v>159.46854846277685</v>
      </c>
      <c r="L28" s="150">
        <v>150.26336681468601</v>
      </c>
      <c r="M28" s="150">
        <v>141.93546759923075</v>
      </c>
      <c r="N28" s="150">
        <v>134.36521382227983</v>
      </c>
      <c r="O28" s="150">
        <v>127.45377503239666</v>
      </c>
      <c r="P28" s="150">
        <v>121.11879262264128</v>
      </c>
      <c r="Q28" s="150">
        <v>115.29108545997194</v>
      </c>
      <c r="R28" s="150">
        <v>109.91211575404908</v>
      </c>
      <c r="S28" s="132"/>
    </row>
    <row r="29" spans="1:19" ht="14.25" customHeight="1" thickBot="1" x14ac:dyDescent="0.4">
      <c r="A29" s="132"/>
      <c r="B29" s="132" t="s">
        <v>225</v>
      </c>
      <c r="C29" s="132"/>
      <c r="D29" s="137">
        <f>D28*CHOOSE(D5,G21,G20)</f>
        <v>205071.76818384716</v>
      </c>
      <c r="E29" s="137"/>
      <c r="F29" s="148" t="s">
        <v>479</v>
      </c>
      <c r="G29" s="137"/>
      <c r="H29" s="283"/>
      <c r="I29" s="158">
        <f t="shared" si="8"/>
        <v>1.5000000000000001E-2</v>
      </c>
      <c r="J29" s="162">
        <v>179.52200027652518</v>
      </c>
      <c r="K29" s="150">
        <v>168.186777247517</v>
      </c>
      <c r="L29" s="271">
        <v>158.04534508837773</v>
      </c>
      <c r="M29" s="272">
        <v>148.91862736904929</v>
      </c>
      <c r="N29" s="272">
        <v>140.6616575683519</v>
      </c>
      <c r="O29" s="272">
        <v>133.15582682009585</v>
      </c>
      <c r="P29" s="270">
        <v>126.30315398633049</v>
      </c>
      <c r="Q29" s="150">
        <v>120.02198821231271</v>
      </c>
      <c r="R29" s="150">
        <v>114.24374286831502</v>
      </c>
      <c r="S29" s="132"/>
    </row>
    <row r="30" spans="1:19" ht="14.25" customHeight="1" x14ac:dyDescent="0.35">
      <c r="A30" s="132"/>
      <c r="B30" s="138" t="s">
        <v>226</v>
      </c>
      <c r="C30" s="138"/>
      <c r="D30" s="153">
        <f>C24+D29</f>
        <v>251744.71933999236</v>
      </c>
      <c r="E30" s="145"/>
      <c r="F30" s="137"/>
      <c r="G30" s="137"/>
      <c r="H30" s="283"/>
      <c r="I30" s="158">
        <f t="shared" si="8"/>
        <v>1.7500000000000002E-2</v>
      </c>
      <c r="J30" s="162">
        <v>190.57486044989301</v>
      </c>
      <c r="K30" s="150">
        <v>177.93068000693259</v>
      </c>
      <c r="L30" s="273">
        <v>166.69198761470193</v>
      </c>
      <c r="M30" s="274">
        <v>156.63685658832244</v>
      </c>
      <c r="N30" s="274">
        <v>147.58774568903124</v>
      </c>
      <c r="O30" s="274">
        <v>139.4009311590045</v>
      </c>
      <c r="P30" s="275">
        <v>131.95882092853691</v>
      </c>
      <c r="Q30" s="150">
        <v>125.16427381268313</v>
      </c>
      <c r="R30" s="150">
        <v>118.93633890876983</v>
      </c>
      <c r="S30" s="132"/>
    </row>
    <row r="31" spans="1:19" ht="14.25" customHeight="1" x14ac:dyDescent="0.35">
      <c r="A31" s="132"/>
      <c r="B31" s="132" t="s">
        <v>227</v>
      </c>
      <c r="C31" s="132"/>
      <c r="D31" s="137">
        <f>'PepsiCo-BS'!F6+'PepsiCo-BS'!F17</f>
        <v>3376</v>
      </c>
      <c r="E31" s="137"/>
      <c r="F31" s="137"/>
      <c r="G31" s="137"/>
      <c r="H31" s="283"/>
      <c r="I31" s="158">
        <f t="shared" si="8"/>
        <v>0.02</v>
      </c>
      <c r="J31" s="162">
        <v>203.10143531304317</v>
      </c>
      <c r="K31" s="150">
        <v>188.89257061127506</v>
      </c>
      <c r="L31" s="273">
        <v>176.35588220294659</v>
      </c>
      <c r="M31" s="274">
        <v>165.21266683195927</v>
      </c>
      <c r="N31" s="274">
        <v>155.24289571715047</v>
      </c>
      <c r="O31" s="274">
        <v>146.27054593180395</v>
      </c>
      <c r="P31" s="275">
        <v>138.15312281762013</v>
      </c>
      <c r="Q31" s="150">
        <v>130.7740399221781</v>
      </c>
      <c r="R31" s="150">
        <v>124.03698677882936</v>
      </c>
      <c r="S31" s="132"/>
    </row>
    <row r="32" spans="1:19" ht="14.25" customHeight="1" thickBot="1" x14ac:dyDescent="0.4">
      <c r="A32" s="138"/>
      <c r="B32" s="138" t="s">
        <v>228</v>
      </c>
      <c r="C32" s="138"/>
      <c r="D32" s="153">
        <f>D30+D31</f>
        <v>255120.71933999236</v>
      </c>
      <c r="E32" s="145"/>
      <c r="F32" s="145"/>
      <c r="G32" s="145"/>
      <c r="H32" s="283"/>
      <c r="I32" s="158">
        <f t="shared" si="8"/>
        <v>2.2499999999999999E-2</v>
      </c>
      <c r="J32" s="162">
        <v>217.41752087092917</v>
      </c>
      <c r="K32" s="150">
        <v>201.31604662952989</v>
      </c>
      <c r="L32" s="273">
        <v>187.22776361472179</v>
      </c>
      <c r="M32" s="274">
        <v>174.79739592778859</v>
      </c>
      <c r="N32" s="274">
        <v>163.74861797061624</v>
      </c>
      <c r="O32" s="274">
        <v>153.86327804910863</v>
      </c>
      <c r="P32" s="275">
        <v>144.96685489561168</v>
      </c>
      <c r="Q32" s="150">
        <v>136.91806947067261</v>
      </c>
      <c r="R32" s="150">
        <v>129.60132990980341</v>
      </c>
      <c r="S32" s="138"/>
    </row>
    <row r="33" spans="1:19" ht="14.25" customHeight="1" thickBot="1" x14ac:dyDescent="0.4">
      <c r="A33" s="132"/>
      <c r="B33" s="132" t="s">
        <v>229</v>
      </c>
      <c r="C33" s="132"/>
      <c r="D33" s="137">
        <f>'PepsiCo-BS'!F23+'PepsiCo-BS'!F28</f>
        <v>43621</v>
      </c>
      <c r="E33" s="137"/>
      <c r="F33" s="137"/>
      <c r="G33" s="137"/>
      <c r="H33" s="283"/>
      <c r="I33" s="158">
        <f t="shared" si="8"/>
        <v>2.4999999999999998E-2</v>
      </c>
      <c r="J33" s="162">
        <v>233.93608113002833</v>
      </c>
      <c r="K33" s="150">
        <v>215.51430493610684</v>
      </c>
      <c r="L33" s="270">
        <v>199.54922921473369</v>
      </c>
      <c r="M33" s="276">
        <v>185.58021616059659</v>
      </c>
      <c r="N33" s="276">
        <v>173.25501343037212</v>
      </c>
      <c r="O33" s="276">
        <v>162.29964706833601</v>
      </c>
      <c r="P33" s="277">
        <v>152.49782192918119</v>
      </c>
      <c r="Q33" s="150">
        <v>143.67650197401653</v>
      </c>
      <c r="R33" s="150">
        <v>135.69561048182257</v>
      </c>
      <c r="S33" s="132"/>
    </row>
    <row r="34" spans="1:19" ht="14.25" customHeight="1" x14ac:dyDescent="0.35">
      <c r="A34" s="132"/>
      <c r="B34" s="132" t="s">
        <v>230</v>
      </c>
      <c r="C34" s="132"/>
      <c r="D34" s="137">
        <f>'PepsiCo-BS'!F5</f>
        <v>6116</v>
      </c>
      <c r="E34" s="137"/>
      <c r="F34" s="137"/>
      <c r="G34" s="137"/>
      <c r="H34" s="283"/>
      <c r="I34" s="158">
        <f t="shared" si="8"/>
        <v>2.7499999999999997E-2</v>
      </c>
      <c r="J34" s="162">
        <v>253.20773476564406</v>
      </c>
      <c r="K34" s="150">
        <v>231.89691067446483</v>
      </c>
      <c r="L34" s="150">
        <v>213.63090418617591</v>
      </c>
      <c r="M34" s="150">
        <v>197.80074575777905</v>
      </c>
      <c r="N34" s="150">
        <v>183.9497083225975</v>
      </c>
      <c r="O34" s="150">
        <v>171.72853008982551</v>
      </c>
      <c r="P34" s="150">
        <v>160.86556307759187</v>
      </c>
      <c r="Q34" s="150">
        <v>151.1463484250809</v>
      </c>
      <c r="R34" s="150">
        <v>142.39931911104372</v>
      </c>
      <c r="S34" s="132"/>
    </row>
    <row r="35" spans="1:19" ht="14.25" customHeight="1" x14ac:dyDescent="0.35">
      <c r="A35" s="132"/>
      <c r="B35" s="132" t="s">
        <v>231</v>
      </c>
      <c r="C35" s="132"/>
      <c r="D35" s="137">
        <f>'PepsiCo-BS'!F39</f>
        <v>140</v>
      </c>
      <c r="E35" s="137"/>
      <c r="F35" s="137"/>
      <c r="G35" s="137"/>
      <c r="H35" s="283"/>
      <c r="I35" s="158">
        <f t="shared" si="8"/>
        <v>2.9999999999999995E-2</v>
      </c>
      <c r="J35" s="162">
        <v>275.98332542591714</v>
      </c>
      <c r="K35" s="150">
        <v>251.00995070254916</v>
      </c>
      <c r="L35" s="150">
        <v>229.87899069168614</v>
      </c>
      <c r="M35" s="150">
        <v>211.76706529741617</v>
      </c>
      <c r="N35" s="150">
        <v>196.07036253378627</v>
      </c>
      <c r="O35" s="150">
        <v>182.33602348900118</v>
      </c>
      <c r="P35" s="150">
        <v>170.21774436110971</v>
      </c>
      <c r="Q35" s="150">
        <v>159.44617781515242</v>
      </c>
      <c r="R35" s="150">
        <v>149.80868128018284</v>
      </c>
      <c r="S35" s="132"/>
    </row>
    <row r="36" spans="1:19" ht="14.25" customHeight="1" x14ac:dyDescent="0.35">
      <c r="A36" s="138"/>
      <c r="B36" s="138" t="s">
        <v>232</v>
      </c>
      <c r="C36" s="138"/>
      <c r="D36" s="153">
        <f>D32-D33+D34-D35</f>
        <v>217475.71933999236</v>
      </c>
      <c r="E36" s="145"/>
      <c r="F36" s="145"/>
      <c r="G36" s="145"/>
      <c r="H36" s="145"/>
      <c r="I36" s="158"/>
      <c r="J36" s="138"/>
      <c r="K36" s="138"/>
      <c r="L36" s="138"/>
      <c r="M36" s="138"/>
      <c r="N36" s="138"/>
      <c r="O36" s="138"/>
      <c r="P36" s="138"/>
      <c r="Q36" s="138"/>
      <c r="R36" s="138"/>
      <c r="S36" s="138"/>
    </row>
    <row r="37" spans="1:19" ht="14.25" customHeight="1" thickBot="1" x14ac:dyDescent="0.4">
      <c r="A37" s="132"/>
      <c r="B37" s="132" t="s">
        <v>233</v>
      </c>
      <c r="C37" s="132"/>
      <c r="D37" s="137">
        <f>WACC!E38</f>
        <v>1376.5806110000001</v>
      </c>
      <c r="E37" s="137"/>
      <c r="F37" s="137"/>
      <c r="G37" s="137"/>
      <c r="H37" s="137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</row>
    <row r="38" spans="1:19" ht="14.25" customHeight="1" thickBot="1" x14ac:dyDescent="0.4">
      <c r="A38" s="138"/>
      <c r="B38" s="163" t="s">
        <v>234</v>
      </c>
      <c r="C38" s="164"/>
      <c r="D38" s="165">
        <f>D36/D37</f>
        <v>157.98255300284217</v>
      </c>
      <c r="E38" s="145"/>
      <c r="F38" s="145"/>
      <c r="G38" s="145"/>
      <c r="H38" s="145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</row>
    <row r="39" spans="1:19" ht="14.25" customHeight="1" thickBot="1" x14ac:dyDescent="0.4">
      <c r="A39" s="132"/>
      <c r="B39" s="132"/>
      <c r="C39" s="132"/>
      <c r="D39" s="137"/>
      <c r="E39" s="137"/>
      <c r="F39" s="137"/>
      <c r="G39" s="137"/>
      <c r="H39" s="137"/>
      <c r="I39" s="132"/>
      <c r="J39" s="280" t="s">
        <v>219</v>
      </c>
      <c r="K39" s="281"/>
      <c r="L39" s="281"/>
      <c r="M39" s="281"/>
      <c r="N39" s="281"/>
      <c r="O39" s="281"/>
      <c r="P39" s="281"/>
      <c r="Q39" s="281"/>
      <c r="R39" s="281"/>
      <c r="S39" s="132"/>
    </row>
    <row r="40" spans="1:19" ht="14.25" customHeight="1" thickBot="1" x14ac:dyDescent="0.4">
      <c r="A40" s="138"/>
      <c r="B40" s="138" t="s">
        <v>224</v>
      </c>
      <c r="C40" s="138"/>
      <c r="D40" s="145" t="s">
        <v>235</v>
      </c>
      <c r="E40" s="138" t="s">
        <v>481</v>
      </c>
      <c r="F40" s="145"/>
      <c r="G40" s="145"/>
      <c r="H40" s="137"/>
      <c r="I40" s="166">
        <f>D53</f>
        <v>188.00843368475833</v>
      </c>
      <c r="J40" s="142">
        <f t="shared" ref="J40:R40" si="9">J26</f>
        <v>5.7500000000000002E-2</v>
      </c>
      <c r="K40" s="142">
        <f t="shared" si="9"/>
        <v>6.0000000000000005E-2</v>
      </c>
      <c r="L40" s="142">
        <f t="shared" si="9"/>
        <v>6.25E-2</v>
      </c>
      <c r="M40" s="142">
        <f t="shared" si="9"/>
        <v>6.5000000000000002E-2</v>
      </c>
      <c r="N40" s="142">
        <f t="shared" si="9"/>
        <v>6.7500000000000004E-2</v>
      </c>
      <c r="O40" s="142">
        <f t="shared" si="9"/>
        <v>7.0000000000000007E-2</v>
      </c>
      <c r="P40" s="142">
        <f t="shared" si="9"/>
        <v>7.2500000000000009E-2</v>
      </c>
      <c r="Q40" s="142">
        <f t="shared" si="9"/>
        <v>7.5000000000000011E-2</v>
      </c>
      <c r="R40" s="142">
        <f t="shared" si="9"/>
        <v>7.7500000000000013E-2</v>
      </c>
      <c r="S40" s="138"/>
    </row>
    <row r="41" spans="1:19" ht="14.25" customHeight="1" x14ac:dyDescent="0.35">
      <c r="A41" s="132"/>
      <c r="B41" s="132" t="s">
        <v>236</v>
      </c>
      <c r="C41" s="132"/>
      <c r="D41" s="150">
        <f>(16.9+10.01)/2</f>
        <v>13.454999999999998</v>
      </c>
      <c r="E41" s="132" t="s">
        <v>480</v>
      </c>
      <c r="F41" s="137"/>
      <c r="G41" s="137"/>
      <c r="H41" s="282" t="s">
        <v>237</v>
      </c>
      <c r="I41" s="167">
        <v>12.5</v>
      </c>
      <c r="J41" s="160">
        <f t="dataTable" ref="J41:R49" dt2D="1" dtr="1" r1="A17" r2="D41"/>
        <v>182.74904134151359</v>
      </c>
      <c r="K41" s="161">
        <v>180.70995664749205</v>
      </c>
      <c r="L41" s="161">
        <v>178.6965577846878</v>
      </c>
      <c r="M41" s="161">
        <v>176.70845888305016</v>
      </c>
      <c r="N41" s="161">
        <v>174.74528077606806</v>
      </c>
      <c r="O41" s="161">
        <v>172.80665086878969</v>
      </c>
      <c r="P41" s="161">
        <v>170.89220300874547</v>
      </c>
      <c r="Q41" s="161">
        <v>169.00157735969904</v>
      </c>
      <c r="R41" s="161">
        <v>167.13442027816231</v>
      </c>
      <c r="S41" s="132"/>
    </row>
    <row r="42" spans="1:19" ht="14.25" customHeight="1" thickBot="1" x14ac:dyDescent="0.4">
      <c r="A42" s="132"/>
      <c r="B42" s="132" t="s">
        <v>238</v>
      </c>
      <c r="C42" s="132"/>
      <c r="D42" s="137">
        <f>G10+G13</f>
        <v>24496.998900630257</v>
      </c>
      <c r="E42" s="132" t="s">
        <v>482</v>
      </c>
      <c r="F42" s="132"/>
      <c r="G42" s="132"/>
      <c r="H42" s="283"/>
      <c r="I42" s="167">
        <f t="shared" ref="I42:I49" si="10">I41+1</f>
        <v>13.5</v>
      </c>
      <c r="J42" s="162">
        <v>196.58628352717554</v>
      </c>
      <c r="K42" s="150">
        <v>194.40094625335539</v>
      </c>
      <c r="L42" s="150">
        <v>192.24317971001648</v>
      </c>
      <c r="M42" s="150">
        <v>190.11256938491633</v>
      </c>
      <c r="N42" s="150">
        <v>188.00870797037447</v>
      </c>
      <c r="O42" s="150">
        <v>185.93119522138332</v>
      </c>
      <c r="P42" s="150">
        <v>183.87963781683942</v>
      </c>
      <c r="Q42" s="150">
        <v>181.85364922381717</v>
      </c>
      <c r="R42" s="150">
        <v>179.85284956481394</v>
      </c>
      <c r="S42" s="132"/>
    </row>
    <row r="43" spans="1:19" ht="14.25" customHeight="1" x14ac:dyDescent="0.35">
      <c r="A43" s="132"/>
      <c r="B43" s="132" t="s">
        <v>224</v>
      </c>
      <c r="C43" s="132"/>
      <c r="D43" s="137">
        <f>D41*D42</f>
        <v>329607.12020798004</v>
      </c>
      <c r="E43" s="132"/>
      <c r="F43" s="132"/>
      <c r="G43" s="132"/>
      <c r="H43" s="283"/>
      <c r="I43" s="167">
        <f t="shared" si="10"/>
        <v>14.5</v>
      </c>
      <c r="J43" s="162">
        <v>210.42352571283752</v>
      </c>
      <c r="K43" s="150">
        <v>208.09193585921869</v>
      </c>
      <c r="L43" s="271">
        <v>205.78980163534521</v>
      </c>
      <c r="M43" s="272">
        <v>203.51667988678247</v>
      </c>
      <c r="N43" s="272">
        <v>201.27213516468089</v>
      </c>
      <c r="O43" s="272">
        <v>199.05573957397692</v>
      </c>
      <c r="P43" s="278">
        <v>196.86707262493337</v>
      </c>
      <c r="Q43" s="150">
        <v>194.7057210879353</v>
      </c>
      <c r="R43" s="150">
        <v>192.57127885146559</v>
      </c>
      <c r="S43" s="132"/>
    </row>
    <row r="44" spans="1:19" ht="14.25" customHeight="1" x14ac:dyDescent="0.35">
      <c r="A44" s="132"/>
      <c r="B44" s="132" t="s">
        <v>225</v>
      </c>
      <c r="C44" s="132"/>
      <c r="D44" s="137">
        <f>D43*CHOOSE($D$5,G21,G20)</f>
        <v>246404.8133587724</v>
      </c>
      <c r="E44" s="132"/>
      <c r="F44" s="132"/>
      <c r="G44" s="132"/>
      <c r="H44" s="283"/>
      <c r="I44" s="167">
        <f t="shared" si="10"/>
        <v>15.5</v>
      </c>
      <c r="J44" s="162">
        <v>224.26076789849941</v>
      </c>
      <c r="K44" s="150">
        <v>221.78292546508195</v>
      </c>
      <c r="L44" s="273">
        <v>219.33642356067389</v>
      </c>
      <c r="M44" s="274">
        <v>216.92079038864861</v>
      </c>
      <c r="N44" s="274">
        <v>214.53556235898733</v>
      </c>
      <c r="O44" s="274">
        <v>212.18028392657052</v>
      </c>
      <c r="P44" s="275">
        <v>209.85450743302727</v>
      </c>
      <c r="Q44" s="150">
        <v>207.55779295205343</v>
      </c>
      <c r="R44" s="150">
        <v>205.28970813811716</v>
      </c>
      <c r="S44" s="132"/>
    </row>
    <row r="45" spans="1:19" ht="14.25" customHeight="1" x14ac:dyDescent="0.35">
      <c r="A45" s="132"/>
      <c r="B45" s="138" t="s">
        <v>226</v>
      </c>
      <c r="C45" s="138"/>
      <c r="D45" s="153">
        <f>D44+C24</f>
        <v>293077.76451491762</v>
      </c>
      <c r="E45" s="132"/>
      <c r="F45" s="132"/>
      <c r="G45" s="132"/>
      <c r="H45" s="283"/>
      <c r="I45" s="167">
        <f t="shared" si="10"/>
        <v>16.5</v>
      </c>
      <c r="J45" s="162">
        <v>238.09801008416139</v>
      </c>
      <c r="K45" s="150">
        <v>235.47391507094531</v>
      </c>
      <c r="L45" s="273">
        <v>232.8830454860026</v>
      </c>
      <c r="M45" s="274">
        <v>230.32490089051478</v>
      </c>
      <c r="N45" s="274">
        <v>227.79898955329384</v>
      </c>
      <c r="O45" s="274">
        <v>225.30482827916418</v>
      </c>
      <c r="P45" s="275">
        <v>222.84194224112122</v>
      </c>
      <c r="Q45" s="150">
        <v>220.40986481617153</v>
      </c>
      <c r="R45" s="150">
        <v>218.00813742476882</v>
      </c>
      <c r="S45" s="132"/>
    </row>
    <row r="46" spans="1:19" ht="14.25" customHeight="1" thickBot="1" x14ac:dyDescent="0.4">
      <c r="A46" s="132"/>
      <c r="B46" s="132" t="s">
        <v>227</v>
      </c>
      <c r="C46" s="132"/>
      <c r="D46" s="137">
        <f>D31</f>
        <v>3376</v>
      </c>
      <c r="E46" s="132"/>
      <c r="F46" s="132"/>
      <c r="G46" s="132"/>
      <c r="H46" s="283"/>
      <c r="I46" s="167">
        <f t="shared" si="10"/>
        <v>17.5</v>
      </c>
      <c r="J46" s="162">
        <v>251.93525226982331</v>
      </c>
      <c r="K46" s="150">
        <v>249.16490467680856</v>
      </c>
      <c r="L46" s="279">
        <v>246.42966741133128</v>
      </c>
      <c r="M46" s="276">
        <v>243.72901139238093</v>
      </c>
      <c r="N46" s="276">
        <v>241.06241674760025</v>
      </c>
      <c r="O46" s="276">
        <v>238.42937263175773</v>
      </c>
      <c r="P46" s="277">
        <v>235.82937704921514</v>
      </c>
      <c r="Q46" s="150">
        <v>233.26193668028964</v>
      </c>
      <c r="R46" s="150">
        <v>230.72656671142039</v>
      </c>
      <c r="S46" s="132"/>
    </row>
    <row r="47" spans="1:19" ht="14.25" customHeight="1" x14ac:dyDescent="0.35">
      <c r="A47" s="132"/>
      <c r="B47" s="138" t="s">
        <v>228</v>
      </c>
      <c r="C47" s="138"/>
      <c r="D47" s="153">
        <f>D45+D46</f>
        <v>296453.76451491762</v>
      </c>
      <c r="E47" s="132"/>
      <c r="F47" s="132"/>
      <c r="G47" s="132"/>
      <c r="H47" s="283"/>
      <c r="I47" s="167">
        <f t="shared" si="10"/>
        <v>18.5</v>
      </c>
      <c r="J47" s="162">
        <v>265.77249445548523</v>
      </c>
      <c r="K47" s="150">
        <v>262.8558942826719</v>
      </c>
      <c r="L47" s="150">
        <v>259.97628933665999</v>
      </c>
      <c r="M47" s="150">
        <v>257.13312189424704</v>
      </c>
      <c r="N47" s="150">
        <v>254.32584394190667</v>
      </c>
      <c r="O47" s="150">
        <v>251.55391698435136</v>
      </c>
      <c r="P47" s="150">
        <v>248.81681185730909</v>
      </c>
      <c r="Q47" s="150">
        <v>246.11400854440774</v>
      </c>
      <c r="R47" s="150">
        <v>243.44499599807199</v>
      </c>
      <c r="S47" s="132"/>
    </row>
    <row r="48" spans="1:19" ht="14.25" customHeight="1" x14ac:dyDescent="0.35">
      <c r="A48" s="132"/>
      <c r="B48" s="132" t="s">
        <v>229</v>
      </c>
      <c r="C48" s="132"/>
      <c r="D48" s="137">
        <f>D33</f>
        <v>43621</v>
      </c>
      <c r="E48" s="132"/>
      <c r="F48" s="132"/>
      <c r="G48" s="132"/>
      <c r="H48" s="283"/>
      <c r="I48" s="167">
        <f t="shared" si="10"/>
        <v>19.5</v>
      </c>
      <c r="J48" s="162">
        <v>279.60973664114721</v>
      </c>
      <c r="K48" s="150">
        <v>276.54688388853521</v>
      </c>
      <c r="L48" s="150">
        <v>273.52291126198872</v>
      </c>
      <c r="M48" s="150">
        <v>270.53723239611321</v>
      </c>
      <c r="N48" s="150">
        <v>267.5892711362132</v>
      </c>
      <c r="O48" s="150">
        <v>264.67846133694496</v>
      </c>
      <c r="P48" s="150">
        <v>261.80424666540301</v>
      </c>
      <c r="Q48" s="150">
        <v>258.9660804085259</v>
      </c>
      <c r="R48" s="150">
        <v>256.16342528472364</v>
      </c>
      <c r="S48" s="132"/>
    </row>
    <row r="49" spans="1:19" ht="14.25" customHeight="1" x14ac:dyDescent="0.35">
      <c r="A49" s="132"/>
      <c r="B49" s="132" t="s">
        <v>230</v>
      </c>
      <c r="C49" s="132"/>
      <c r="D49" s="137">
        <f t="shared" ref="D49:D50" si="11">D34</f>
        <v>6116</v>
      </c>
      <c r="E49" s="132"/>
      <c r="F49" s="132"/>
      <c r="G49" s="132"/>
      <c r="H49" s="283"/>
      <c r="I49" s="167">
        <f t="shared" si="10"/>
        <v>20.5</v>
      </c>
      <c r="J49" s="162">
        <v>293.44697882680919</v>
      </c>
      <c r="K49" s="150">
        <v>290.23787349439851</v>
      </c>
      <c r="L49" s="150">
        <v>287.0695331873174</v>
      </c>
      <c r="M49" s="150">
        <v>283.94134289797933</v>
      </c>
      <c r="N49" s="150">
        <v>280.8526983305195</v>
      </c>
      <c r="O49" s="150">
        <v>277.80300568953857</v>
      </c>
      <c r="P49" s="150">
        <v>274.79168147349691</v>
      </c>
      <c r="Q49" s="150">
        <v>271.818152272644</v>
      </c>
      <c r="R49" s="150">
        <v>268.88185457137524</v>
      </c>
      <c r="S49" s="132"/>
    </row>
    <row r="50" spans="1:19" ht="14.25" customHeight="1" x14ac:dyDescent="0.35">
      <c r="A50" s="132"/>
      <c r="B50" s="132" t="s">
        <v>231</v>
      </c>
      <c r="C50" s="132"/>
      <c r="D50" s="137">
        <f t="shared" si="11"/>
        <v>140</v>
      </c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</row>
    <row r="51" spans="1:19" ht="14.25" customHeight="1" x14ac:dyDescent="0.35">
      <c r="A51" s="132"/>
      <c r="B51" s="138" t="s">
        <v>232</v>
      </c>
      <c r="C51" s="138"/>
      <c r="D51" s="153">
        <f>D47-D48+D49-D50</f>
        <v>258808.76451491762</v>
      </c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</row>
    <row r="52" spans="1:19" ht="14.25" customHeight="1" thickBot="1" x14ac:dyDescent="0.4">
      <c r="A52" s="132"/>
      <c r="B52" s="132" t="s">
        <v>239</v>
      </c>
      <c r="C52" s="132"/>
      <c r="D52" s="137">
        <f>D37</f>
        <v>1376.5806110000001</v>
      </c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</row>
    <row r="53" spans="1:19" ht="14.25" customHeight="1" thickBot="1" x14ac:dyDescent="0.4">
      <c r="A53" s="132"/>
      <c r="B53" s="163" t="s">
        <v>234</v>
      </c>
      <c r="C53" s="164"/>
      <c r="D53" s="165">
        <f>D51/D52</f>
        <v>188.00843368475833</v>
      </c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</row>
    <row r="54" spans="1:19" ht="14.25" customHeight="1" x14ac:dyDescent="0.35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</row>
    <row r="55" spans="1:19" ht="14.25" customHeight="1" x14ac:dyDescent="0.35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</row>
    <row r="56" spans="1:19" ht="14.25" customHeight="1" x14ac:dyDescent="0.35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</row>
    <row r="57" spans="1:19" ht="14.25" customHeight="1" x14ac:dyDescent="0.35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</row>
    <row r="58" spans="1:19" ht="14.25" customHeight="1" x14ac:dyDescent="0.35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</row>
    <row r="59" spans="1:19" ht="14.25" customHeight="1" x14ac:dyDescent="0.35">
      <c r="A59" s="132">
        <v>1</v>
      </c>
      <c r="B59" s="132" t="s">
        <v>240</v>
      </c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</row>
    <row r="60" spans="1:19" ht="14.25" customHeight="1" x14ac:dyDescent="0.35">
      <c r="A60" s="132">
        <v>2</v>
      </c>
      <c r="B60" s="132" t="s">
        <v>241</v>
      </c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</row>
    <row r="61" spans="1:19" ht="14.25" customHeight="1" x14ac:dyDescent="0.35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</row>
    <row r="62" spans="1:19" ht="14.25" customHeight="1" x14ac:dyDescent="0.35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</row>
    <row r="63" spans="1:19" ht="14.25" customHeight="1" x14ac:dyDescent="0.35">
      <c r="A63" s="132"/>
      <c r="B63" s="313"/>
      <c r="C63" s="314"/>
      <c r="D63" s="315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</row>
    <row r="64" spans="1:19" ht="14.25" customHeight="1" x14ac:dyDescent="0.35">
      <c r="A64" s="132"/>
      <c r="B64" s="313"/>
      <c r="C64" s="314"/>
      <c r="D64" s="315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</row>
    <row r="65" spans="1:19" ht="14.25" customHeight="1" x14ac:dyDescent="0.35">
      <c r="A65" s="132"/>
      <c r="B65" s="313"/>
      <c r="C65" s="314"/>
      <c r="D65" s="315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</row>
    <row r="66" spans="1:19" ht="14.25" customHeight="1" x14ac:dyDescent="0.35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</row>
    <row r="67" spans="1:19" ht="14.25" customHeight="1" x14ac:dyDescent="0.35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</row>
    <row r="68" spans="1:19" ht="14.25" customHeight="1" x14ac:dyDescent="0.35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</row>
    <row r="69" spans="1:19" ht="14.25" customHeight="1" x14ac:dyDescent="0.35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</row>
    <row r="70" spans="1:19" ht="14.25" customHeight="1" x14ac:dyDescent="0.35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</row>
    <row r="71" spans="1:19" ht="14.25" customHeight="1" x14ac:dyDescent="0.35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</row>
    <row r="72" spans="1:19" ht="14.25" customHeight="1" x14ac:dyDescent="0.35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</row>
    <row r="73" spans="1:19" ht="14.25" customHeight="1" x14ac:dyDescent="0.35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</row>
    <row r="74" spans="1:19" ht="14.25" customHeight="1" x14ac:dyDescent="0.35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</row>
    <row r="75" spans="1:19" ht="14.25" customHeight="1" x14ac:dyDescent="0.3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</row>
    <row r="76" spans="1:19" ht="14.25" customHeight="1" x14ac:dyDescent="0.35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</row>
    <row r="77" spans="1:19" ht="14.25" customHeight="1" x14ac:dyDescent="0.35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</row>
    <row r="78" spans="1:19" ht="14.25" customHeight="1" x14ac:dyDescent="0.35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</row>
    <row r="79" spans="1:19" ht="14.25" customHeight="1" x14ac:dyDescent="0.35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</row>
    <row r="80" spans="1:19" ht="14.25" customHeight="1" x14ac:dyDescent="0.35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</row>
    <row r="81" spans="1:19" ht="14.25" customHeight="1" x14ac:dyDescent="0.35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</row>
    <row r="82" spans="1:19" ht="14.25" customHeight="1" x14ac:dyDescent="0.35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</row>
    <row r="83" spans="1:19" ht="14.25" customHeight="1" x14ac:dyDescent="0.35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</row>
    <row r="84" spans="1:19" ht="14.25" customHeight="1" x14ac:dyDescent="0.35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</row>
    <row r="85" spans="1:19" ht="14.25" customHeight="1" x14ac:dyDescent="0.3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</row>
    <row r="86" spans="1:19" ht="14.25" customHeight="1" x14ac:dyDescent="0.35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</row>
    <row r="87" spans="1:19" ht="14.25" customHeight="1" x14ac:dyDescent="0.35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</row>
    <row r="88" spans="1:19" ht="14.25" customHeight="1" x14ac:dyDescent="0.35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</row>
    <row r="89" spans="1:19" ht="14.25" customHeight="1" x14ac:dyDescent="0.35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</row>
    <row r="90" spans="1:19" ht="14.25" customHeight="1" x14ac:dyDescent="0.35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</row>
    <row r="91" spans="1:19" ht="14.25" customHeight="1" x14ac:dyDescent="0.35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</row>
    <row r="92" spans="1:19" ht="14.25" customHeight="1" x14ac:dyDescent="0.35"/>
    <row r="93" spans="1:19" ht="14.25" customHeight="1" x14ac:dyDescent="0.35"/>
    <row r="94" spans="1:19" ht="14.25" customHeight="1" x14ac:dyDescent="0.35"/>
    <row r="95" spans="1:19" ht="14.25" customHeight="1" x14ac:dyDescent="0.35"/>
    <row r="96" spans="1:19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</sheetData>
  <mergeCells count="4">
    <mergeCell ref="J25:R25"/>
    <mergeCell ref="H27:H35"/>
    <mergeCell ref="J39:R39"/>
    <mergeCell ref="H41:H49"/>
  </mergeCells>
  <dataValidations count="2">
    <dataValidation type="list" allowBlank="1" showErrorMessage="1" sqref="D5" xr:uid="{3FF80C8F-40C8-4BF9-806D-5124CFBDC67C}">
      <formula1>$A$59:$A$60</formula1>
    </dataValidation>
    <dataValidation type="list" allowBlank="1" showErrorMessage="1" sqref="B59:B60" xr:uid="{786A162C-56A7-4352-9C08-C7F51D4137AA}">
      <formula1>$B$59:$B$60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4188-B01D-493D-9153-B22ED7735AF1}">
  <dimension ref="A1:Z1000"/>
  <sheetViews>
    <sheetView showGridLines="0" topLeftCell="A28" zoomScale="38" workbookViewId="0">
      <selection activeCell="H6" sqref="H6"/>
    </sheetView>
  </sheetViews>
  <sheetFormatPr defaultColWidth="14.453125" defaultRowHeight="14.5" x14ac:dyDescent="0.35"/>
  <cols>
    <col min="1" max="1" width="8.6328125" customWidth="1"/>
    <col min="2" max="2" width="45.453125" customWidth="1"/>
    <col min="3" max="3" width="25.36328125" customWidth="1"/>
    <col min="4" max="4" width="15.453125" customWidth="1"/>
    <col min="5" max="5" width="11.1796875" bestFit="1" customWidth="1"/>
    <col min="6" max="6" width="28.453125" bestFit="1" customWidth="1"/>
    <col min="7" max="7" width="16.36328125" customWidth="1"/>
    <col min="8" max="8" width="18.453125" customWidth="1"/>
    <col min="9" max="9" width="8.6328125" customWidth="1"/>
    <col min="10" max="10" width="28.453125" customWidth="1"/>
    <col min="11" max="11" width="8.6328125" customWidth="1"/>
    <col min="12" max="12" width="17.6328125" bestFit="1" customWidth="1"/>
    <col min="13" max="21" width="8.6328125" customWidth="1"/>
    <col min="22" max="22" width="17.26953125" bestFit="1" customWidth="1"/>
    <col min="23" max="26" width="8.6328125" customWidth="1"/>
  </cols>
  <sheetData>
    <row r="1" spans="1:26" ht="15.5" x14ac:dyDescent="0.35">
      <c r="A1" s="168"/>
      <c r="B1" s="169" t="s">
        <v>242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spans="1:26" ht="15.5" x14ac:dyDescent="0.35">
      <c r="A2" s="168"/>
      <c r="B2" s="171" t="s">
        <v>1</v>
      </c>
      <c r="C2" s="168"/>
      <c r="D2" s="168"/>
      <c r="E2" s="168"/>
      <c r="F2" s="170"/>
      <c r="G2" s="172"/>
      <c r="H2" s="168"/>
      <c r="I2" s="168"/>
      <c r="J2" s="168"/>
      <c r="K2" s="168"/>
      <c r="L2" s="168"/>
      <c r="M2" s="168"/>
      <c r="N2" s="168"/>
      <c r="O2" s="168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spans="1:26" ht="15.5" x14ac:dyDescent="0.35">
      <c r="A3" s="168"/>
      <c r="B3" s="168"/>
      <c r="C3" s="170">
        <v>1</v>
      </c>
      <c r="D3" s="172" t="str">
        <f>IF(C3=A24,B24,B25)</f>
        <v>Bottoms Up beta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</row>
    <row r="4" spans="1:26" ht="15.5" x14ac:dyDescent="0.35">
      <c r="A4" s="168"/>
      <c r="B4" s="173" t="s">
        <v>243</v>
      </c>
      <c r="C4" s="172"/>
      <c r="D4" s="172"/>
      <c r="E4" s="174"/>
      <c r="F4" s="173" t="s">
        <v>244</v>
      </c>
      <c r="G4" s="172"/>
      <c r="H4" s="168"/>
      <c r="I4" s="168"/>
      <c r="J4" s="175" t="s">
        <v>245</v>
      </c>
      <c r="K4" s="168"/>
      <c r="L4" s="168"/>
      <c r="M4" s="168"/>
      <c r="N4" s="168"/>
      <c r="O4" s="168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</row>
    <row r="5" spans="1:26" ht="15.5" x14ac:dyDescent="0.35">
      <c r="A5" s="168"/>
      <c r="B5" s="176" t="s">
        <v>246</v>
      </c>
      <c r="C5" s="177" t="s">
        <v>247</v>
      </c>
      <c r="D5" s="178" t="s">
        <v>248</v>
      </c>
      <c r="E5" s="174"/>
      <c r="F5" s="176" t="s">
        <v>246</v>
      </c>
      <c r="G5" s="177" t="s">
        <v>247</v>
      </c>
      <c r="H5" s="178" t="s">
        <v>248</v>
      </c>
      <c r="I5" s="168"/>
      <c r="J5" s="176" t="s">
        <v>246</v>
      </c>
      <c r="K5" s="178" t="s">
        <v>249</v>
      </c>
      <c r="L5" s="176" t="s">
        <v>246</v>
      </c>
      <c r="M5" s="178" t="s">
        <v>250</v>
      </c>
      <c r="N5" s="179" t="s">
        <v>248</v>
      </c>
      <c r="O5" s="168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 spans="1:26" ht="15.65" customHeight="1" x14ac:dyDescent="0.35">
      <c r="A6" s="168"/>
      <c r="B6" s="180" t="s">
        <v>251</v>
      </c>
      <c r="C6" s="181" t="s">
        <v>252</v>
      </c>
      <c r="D6" s="182">
        <v>3.9699999999999999E-2</v>
      </c>
      <c r="E6" s="174"/>
      <c r="F6" s="183" t="s">
        <v>253</v>
      </c>
      <c r="G6" s="184" t="s">
        <v>254</v>
      </c>
      <c r="H6" s="185">
        <f>D6+0.7%</f>
        <v>4.6699999999999998E-2</v>
      </c>
      <c r="I6" s="168"/>
      <c r="J6" s="180" t="s">
        <v>255</v>
      </c>
      <c r="K6" s="186">
        <f>D25</f>
        <v>0.15108108326295916</v>
      </c>
      <c r="L6" s="187" t="s">
        <v>256</v>
      </c>
      <c r="M6" s="185">
        <f>H8</f>
        <v>3.4090999999999996E-2</v>
      </c>
      <c r="N6" s="188">
        <f>M6*K6</f>
        <v>5.1505052095175401E-3</v>
      </c>
      <c r="O6" s="168"/>
      <c r="P6" s="170"/>
      <c r="Q6" s="170"/>
      <c r="R6" s="170"/>
      <c r="S6" s="170" t="s">
        <v>309</v>
      </c>
      <c r="T6" s="170"/>
      <c r="U6" s="170"/>
      <c r="V6" s="170"/>
      <c r="W6" s="170"/>
      <c r="X6" s="170"/>
      <c r="Y6" s="170"/>
      <c r="Z6" s="170"/>
    </row>
    <row r="7" spans="1:26" ht="15.5" x14ac:dyDescent="0.35">
      <c r="A7" s="168"/>
      <c r="B7" s="189" t="s">
        <v>257</v>
      </c>
      <c r="C7" s="190" t="str">
        <f>D3</f>
        <v>Bottoms Up beta</v>
      </c>
      <c r="D7" s="191">
        <f>CHOOSE(C3,H22,H25)</f>
        <v>0.73120838137864219</v>
      </c>
      <c r="E7" s="174"/>
      <c r="F7" s="192" t="s">
        <v>258</v>
      </c>
      <c r="G7" s="193"/>
      <c r="H7" s="188">
        <v>0.27</v>
      </c>
      <c r="I7" s="168"/>
      <c r="J7" s="189" t="s">
        <v>259</v>
      </c>
      <c r="K7" s="194">
        <f>1-K6</f>
        <v>0.84891891673704079</v>
      </c>
      <c r="L7" s="195" t="s">
        <v>260</v>
      </c>
      <c r="M7" s="188">
        <f>D9</f>
        <v>7.2604377162038894E-2</v>
      </c>
      <c r="N7" s="188">
        <f>M7*K7</f>
        <v>6.1635229210765599E-2</v>
      </c>
      <c r="O7" s="168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spans="1:26" ht="16" thickBot="1" x14ac:dyDescent="0.4">
      <c r="A8" s="168"/>
      <c r="B8" s="189" t="s">
        <v>261</v>
      </c>
      <c r="C8" s="190" t="s">
        <v>262</v>
      </c>
      <c r="D8" s="267">
        <f>4.5%</f>
        <v>4.4999999999999998E-2</v>
      </c>
      <c r="E8" s="174"/>
      <c r="F8" s="192" t="s">
        <v>263</v>
      </c>
      <c r="G8" s="168"/>
      <c r="H8" s="196">
        <f>H6*(1-H7)</f>
        <v>3.4090999999999996E-2</v>
      </c>
      <c r="I8" s="168"/>
      <c r="J8" s="197" t="s">
        <v>219</v>
      </c>
      <c r="K8" s="198"/>
      <c r="L8" s="198"/>
      <c r="M8" s="198"/>
      <c r="N8" s="199">
        <f>SUM(N6:N7)</f>
        <v>6.6785734420283141E-2</v>
      </c>
      <c r="O8" s="168"/>
      <c r="P8" s="170"/>
      <c r="Q8" s="170"/>
      <c r="R8" s="170"/>
      <c r="S8" s="170" t="s">
        <v>469</v>
      </c>
      <c r="T8" s="170"/>
      <c r="U8" s="170">
        <v>57.57</v>
      </c>
      <c r="V8" s="264">
        <v>22284</v>
      </c>
      <c r="W8" s="170"/>
      <c r="X8" s="170"/>
      <c r="Y8" s="170"/>
      <c r="Z8" s="170"/>
    </row>
    <row r="9" spans="1:26" ht="16.5" thickTop="1" thickBot="1" x14ac:dyDescent="0.4">
      <c r="A9" s="168"/>
      <c r="B9" s="200" t="s">
        <v>264</v>
      </c>
      <c r="C9" s="200"/>
      <c r="D9" s="268">
        <f>D6+D7*D8</f>
        <v>7.2604377162038894E-2</v>
      </c>
      <c r="E9" s="174"/>
      <c r="F9" s="192"/>
      <c r="G9" s="168"/>
      <c r="H9" s="201"/>
      <c r="I9" s="168"/>
      <c r="J9" s="192"/>
      <c r="K9" s="202"/>
      <c r="L9" s="168"/>
      <c r="M9" s="168"/>
      <c r="N9" s="168"/>
      <c r="O9" s="168"/>
      <c r="P9" s="170"/>
      <c r="Q9" s="170"/>
      <c r="R9" s="170"/>
      <c r="S9" s="170" t="s">
        <v>470</v>
      </c>
      <c r="T9" s="170"/>
      <c r="U9" s="170">
        <v>7431.6</v>
      </c>
      <c r="V9" s="264">
        <v>46188</v>
      </c>
      <c r="W9" s="170"/>
      <c r="X9" s="170"/>
      <c r="Y9" s="170"/>
      <c r="Z9" s="170"/>
    </row>
    <row r="10" spans="1:26" ht="15.5" x14ac:dyDescent="0.35">
      <c r="A10" s="168"/>
      <c r="B10" s="192"/>
      <c r="C10" s="189"/>
      <c r="D10" s="201"/>
      <c r="E10" s="174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 spans="1:26" ht="46.5" x14ac:dyDescent="0.35">
      <c r="A11" s="168"/>
      <c r="B11" s="192"/>
      <c r="C11" s="189" t="s">
        <v>475</v>
      </c>
      <c r="D11" s="201"/>
      <c r="E11" s="174"/>
      <c r="F11" s="168"/>
      <c r="G11" s="168"/>
      <c r="H11" s="168"/>
      <c r="I11" s="168"/>
      <c r="J11" s="203"/>
      <c r="K11" s="203"/>
      <c r="L11" s="168"/>
      <c r="M11" s="168"/>
      <c r="N11" s="168"/>
      <c r="O11" s="168"/>
      <c r="P11" s="170"/>
      <c r="Q11" s="170"/>
      <c r="R11" s="170"/>
      <c r="S11" s="170" t="s">
        <v>471</v>
      </c>
      <c r="T11" s="170"/>
      <c r="U11" s="170"/>
      <c r="V11" s="170">
        <f>YEARFRAC(V8,V9,1)</f>
        <v>65.446942669874716</v>
      </c>
      <c r="W11" s="170"/>
      <c r="X11" s="170"/>
      <c r="Y11" s="170"/>
      <c r="Z11" s="170"/>
    </row>
    <row r="12" spans="1:26" ht="15.5" x14ac:dyDescent="0.35">
      <c r="A12" s="168"/>
      <c r="B12" s="192"/>
      <c r="C12" s="189"/>
      <c r="D12" s="201"/>
      <c r="E12" s="174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70"/>
      <c r="Q12" s="170"/>
      <c r="R12" s="170"/>
      <c r="S12" s="170" t="s">
        <v>472</v>
      </c>
      <c r="T12" s="170"/>
      <c r="U12" s="170"/>
      <c r="V12" s="265">
        <f>RATE(V11,0,-U8,U9,0)</f>
        <v>7.7093475228999994E-2</v>
      </c>
      <c r="W12" s="170"/>
      <c r="X12" s="170"/>
      <c r="Y12" s="170"/>
      <c r="Z12" s="170"/>
    </row>
    <row r="13" spans="1:26" ht="15.5" x14ac:dyDescent="0.35">
      <c r="A13" s="168"/>
      <c r="B13" s="204" t="s">
        <v>265</v>
      </c>
      <c r="C13" s="168"/>
      <c r="D13" s="168"/>
      <c r="E13" s="195"/>
      <c r="F13" s="168"/>
      <c r="G13" s="168"/>
      <c r="H13" s="205"/>
      <c r="I13" s="206"/>
      <c r="J13" s="168"/>
      <c r="K13" s="168"/>
      <c r="L13" s="168"/>
      <c r="M13" s="168"/>
      <c r="N13" s="168"/>
      <c r="O13" s="168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ht="46.5" x14ac:dyDescent="0.35">
      <c r="A14" s="207"/>
      <c r="B14" s="208" t="s">
        <v>246</v>
      </c>
      <c r="C14" s="209" t="s">
        <v>266</v>
      </c>
      <c r="D14" s="210" t="s">
        <v>267</v>
      </c>
      <c r="E14" s="210" t="s">
        <v>268</v>
      </c>
      <c r="F14" s="209" t="s">
        <v>269</v>
      </c>
      <c r="G14" s="209" t="s">
        <v>270</v>
      </c>
      <c r="H14" s="209" t="s">
        <v>271</v>
      </c>
      <c r="I14" s="172"/>
      <c r="J14" s="168"/>
      <c r="K14" s="207"/>
      <c r="L14" s="207"/>
      <c r="M14" s="207"/>
      <c r="N14" s="207"/>
      <c r="O14" s="207"/>
      <c r="P14" s="170"/>
      <c r="Q14" s="170"/>
      <c r="R14" s="170"/>
      <c r="S14" s="170" t="s">
        <v>473</v>
      </c>
      <c r="T14" s="170"/>
      <c r="U14" s="170"/>
      <c r="V14" s="266">
        <f>V12-D6</f>
        <v>3.7393475228999995E-2</v>
      </c>
      <c r="W14" s="170"/>
      <c r="X14" s="170"/>
      <c r="Y14" s="170"/>
      <c r="Z14" s="170"/>
    </row>
    <row r="15" spans="1:26" ht="15.5" x14ac:dyDescent="0.35">
      <c r="A15" s="206"/>
      <c r="B15" s="198" t="s">
        <v>272</v>
      </c>
      <c r="C15" s="198"/>
      <c r="D15" s="198"/>
      <c r="E15" s="198"/>
      <c r="F15" s="198"/>
      <c r="G15" s="198"/>
      <c r="H15" s="198"/>
      <c r="I15" s="206"/>
      <c r="J15" s="168"/>
      <c r="K15" s="206"/>
      <c r="L15" s="206"/>
      <c r="M15" s="206"/>
      <c r="N15" s="206"/>
      <c r="O15" s="206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ht="15.5" x14ac:dyDescent="0.35">
      <c r="A16" s="168"/>
      <c r="B16" s="168" t="str">
        <f>[1]Beta!D6</f>
        <v>Coca Cola</v>
      </c>
      <c r="C16" s="233">
        <f>Beta!E6</f>
        <v>0.81092835804709229</v>
      </c>
      <c r="D16" s="202">
        <f>AVERAGE(C33:C35)/(AVERAGE(C33:C35)+AVERAGE(F33:F35))</f>
        <v>0.13729357387474378</v>
      </c>
      <c r="E16" s="202">
        <f>1-D16</f>
        <v>0.86270642612525616</v>
      </c>
      <c r="F16" s="202">
        <v>0.27</v>
      </c>
      <c r="G16" s="191">
        <f>(C16*E16)/(E16+D16*(1-F16))</f>
        <v>0.72652484768318071</v>
      </c>
      <c r="H16" s="191">
        <f>G16*(1+$D$25/$E$25*(1-F16))</f>
        <v>0.82091294053184682</v>
      </c>
      <c r="I16" s="202"/>
      <c r="J16" s="211"/>
      <c r="K16" s="211"/>
      <c r="L16" s="168"/>
      <c r="M16" s="168"/>
      <c r="N16" s="168"/>
      <c r="O16" s="168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ht="15.5" x14ac:dyDescent="0.35">
      <c r="A17" s="168"/>
      <c r="B17" s="168" t="str">
        <f>[1]Beta!D7</f>
        <v>Keurig Dr. Pepper</v>
      </c>
      <c r="C17" s="233">
        <f>Beta!E7</f>
        <v>0.51960989120137291</v>
      </c>
      <c r="D17" s="202">
        <f>AVERAGE($C$43:$C$45)/(AVERAGE($C$43:$C$45)+AVERAGE($F$43:$F$45))</f>
        <v>0.19730472707635094</v>
      </c>
      <c r="E17" s="202">
        <f t="shared" ref="E17:E21" si="0">1-D17</f>
        <v>0.80269527292364906</v>
      </c>
      <c r="F17" s="202">
        <v>0.27</v>
      </c>
      <c r="G17" s="191">
        <f t="shared" ref="G17:G21" si="1">(C17*E17)/(E17+D17*(1-F17))</f>
        <v>0.44055792705248531</v>
      </c>
      <c r="H17" s="191">
        <f t="shared" ref="H17:H21" si="2">G17*(1+$D$25/$E$25*(1-F17))</f>
        <v>0.49779399083812381</v>
      </c>
      <c r="I17" s="202"/>
      <c r="J17" s="211"/>
      <c r="K17" s="211"/>
      <c r="L17" s="168"/>
      <c r="M17" s="168"/>
      <c r="N17" s="168"/>
      <c r="O17" s="168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ht="15.5" x14ac:dyDescent="0.35">
      <c r="A18" s="168"/>
      <c r="B18" s="168" t="str">
        <f>[1]Beta!D8</f>
        <v>Monster Beverages</v>
      </c>
      <c r="C18" s="233">
        <f>Beta!E8</f>
        <v>0.84032716132518215</v>
      </c>
      <c r="D18" s="202">
        <f>AVERAGE(C48:C50)/(AVERAGE(C48:C50)+AVERAGE(F48:F50))</f>
        <v>0</v>
      </c>
      <c r="E18" s="202">
        <f t="shared" si="0"/>
        <v>1</v>
      </c>
      <c r="F18" s="202">
        <v>0.27</v>
      </c>
      <c r="G18" s="191">
        <f t="shared" si="1"/>
        <v>0.84032716132518215</v>
      </c>
      <c r="H18" s="191">
        <f t="shared" si="2"/>
        <v>0.94950013507735498</v>
      </c>
      <c r="I18" s="202"/>
      <c r="J18" s="211"/>
      <c r="K18" s="211"/>
      <c r="L18" s="168"/>
      <c r="M18" s="168"/>
      <c r="N18" s="168"/>
      <c r="O18" s="168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ht="15.5" x14ac:dyDescent="0.35">
      <c r="A19" s="168"/>
      <c r="B19" s="168" t="str">
        <f>[1]Beta!D12</f>
        <v>Mondelez</v>
      </c>
      <c r="C19" s="211">
        <f>Beta!E12</f>
        <v>0.65705909830958575</v>
      </c>
      <c r="D19" s="202">
        <f>AVERAGE($C$53:$C$55)/(AVERAGE($C$53:$C$55)+AVERAGE($F$53:$F$55))</f>
        <v>0.1772938697158622</v>
      </c>
      <c r="E19" s="202">
        <f t="shared" si="0"/>
        <v>0.82270613028413786</v>
      </c>
      <c r="F19" s="202">
        <v>0.27</v>
      </c>
      <c r="G19" s="191">
        <f t="shared" si="1"/>
        <v>0.56774408554037581</v>
      </c>
      <c r="H19" s="191">
        <f t="shared" si="2"/>
        <v>0.64150382222543756</v>
      </c>
      <c r="I19" s="202"/>
      <c r="J19" s="211"/>
      <c r="K19" s="211"/>
      <c r="L19" s="168"/>
      <c r="M19" s="168"/>
      <c r="N19" s="168"/>
      <c r="O19" s="168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ht="15.5" x14ac:dyDescent="0.35">
      <c r="A20" s="168"/>
      <c r="B20" s="168" t="str">
        <f>[1]Beta!D13</f>
        <v>Hershey Co.</v>
      </c>
      <c r="C20" s="211">
        <f>Beta!E13</f>
        <v>0.5810406596377593</v>
      </c>
      <c r="D20" s="202">
        <f>AVERAGE($C$58:$C$60)/(AVERAGE($C$58:$C$60)+AVERAGE($F$58:$F$60))</f>
        <v>0.13189005098881662</v>
      </c>
      <c r="E20" s="202">
        <f t="shared" si="0"/>
        <v>0.86810994901118343</v>
      </c>
      <c r="F20" s="202">
        <v>0.27</v>
      </c>
      <c r="G20" s="191">
        <f t="shared" si="1"/>
        <v>0.52303252991206584</v>
      </c>
      <c r="H20" s="191">
        <f t="shared" si="2"/>
        <v>0.59098346531867008</v>
      </c>
      <c r="I20" s="202"/>
      <c r="J20" s="211"/>
      <c r="K20" s="211"/>
      <c r="L20" s="168"/>
      <c r="M20" s="168"/>
      <c r="N20" s="168"/>
      <c r="O20" s="168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ht="15.5" x14ac:dyDescent="0.35">
      <c r="A21" s="168"/>
      <c r="B21" s="168" t="str">
        <f>[1]Beta!D15</f>
        <v>Constellation Brands</v>
      </c>
      <c r="C21" s="211">
        <f>Beta!E15</f>
        <v>1.1962911720669331</v>
      </c>
      <c r="D21" s="202">
        <f>AVERAGE($C$63:$C$65)/(AVERAGE($C$63:$C$65)+AVERAGE($F$63:$F$65))</f>
        <v>0.21075915431019404</v>
      </c>
      <c r="E21" s="202">
        <f t="shared" si="0"/>
        <v>0.7892408456898059</v>
      </c>
      <c r="F21" s="202">
        <v>0.27</v>
      </c>
      <c r="G21" s="191">
        <f t="shared" si="1"/>
        <v>1.0011311988347451</v>
      </c>
      <c r="H21" s="191">
        <f t="shared" si="2"/>
        <v>1.1311953870736546</v>
      </c>
      <c r="I21" s="202"/>
      <c r="J21" s="211"/>
      <c r="K21" s="211"/>
      <c r="L21" s="168"/>
      <c r="M21" s="168"/>
      <c r="N21" s="168"/>
      <c r="O21" s="168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spans="1:26" ht="15.5" x14ac:dyDescent="0.35">
      <c r="A22" s="168"/>
      <c r="B22" s="212"/>
      <c r="C22" s="212"/>
      <c r="D22" s="213">
        <f>MEDIAN(D16:D21)</f>
        <v>0.15729372179530299</v>
      </c>
      <c r="E22" s="213">
        <f>MEDIAN(E16:E21)</f>
        <v>0.84270627820469701</v>
      </c>
      <c r="F22" s="198"/>
      <c r="G22" s="227"/>
      <c r="H22" s="263">
        <f>MEDIAN(H16:H21)</f>
        <v>0.73120838137864219</v>
      </c>
      <c r="I22" s="202" t="s">
        <v>468</v>
      </c>
      <c r="J22" s="211"/>
      <c r="K22" s="211"/>
      <c r="L22" s="168"/>
      <c r="M22" s="168"/>
      <c r="N22" s="168"/>
      <c r="O22" s="168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spans="1:26" ht="15.5" x14ac:dyDescent="0.35">
      <c r="A23" s="168"/>
      <c r="B23" s="206" t="s">
        <v>273</v>
      </c>
      <c r="C23" s="168"/>
      <c r="D23" s="168"/>
      <c r="E23" s="168"/>
      <c r="F23" s="168"/>
      <c r="G23" s="191"/>
      <c r="H23" s="214"/>
      <c r="I23" s="202"/>
      <c r="J23" s="211"/>
      <c r="K23" s="211"/>
      <c r="L23" s="168"/>
      <c r="M23" s="168"/>
      <c r="N23" s="168"/>
      <c r="O23" s="168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 spans="1:26" ht="15.5" x14ac:dyDescent="0.35">
      <c r="A24" s="168">
        <v>1</v>
      </c>
      <c r="B24" s="168" t="s">
        <v>274</v>
      </c>
      <c r="C24" s="168"/>
      <c r="D24" s="168"/>
      <c r="E24" s="168"/>
      <c r="F24" s="168"/>
      <c r="G24" s="191"/>
      <c r="H24" s="214"/>
      <c r="I24" s="202"/>
      <c r="J24" s="211"/>
      <c r="K24" s="211"/>
      <c r="L24" s="168"/>
      <c r="M24" s="168"/>
      <c r="N24" s="168"/>
      <c r="O24" s="168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 spans="1:26" ht="15.5" x14ac:dyDescent="0.35">
      <c r="A25" s="206">
        <v>2</v>
      </c>
      <c r="B25" s="168" t="s">
        <v>275</v>
      </c>
      <c r="C25" s="211">
        <f>Beta!E5</f>
        <v>0.67732435456767037</v>
      </c>
      <c r="D25" s="202">
        <f>AVERAGE(C38:C40)/(AVERAGE(C38:C40)+AVERAGE(F38:F40))</f>
        <v>0.15108108326295916</v>
      </c>
      <c r="E25" s="202">
        <f>1-D25</f>
        <v>0.84891891673704079</v>
      </c>
      <c r="F25" s="202">
        <f>F21</f>
        <v>0.27</v>
      </c>
      <c r="G25" s="191">
        <f t="shared" ref="G25" si="3">(C25*E25)/(E25+D25*(1-F25))</f>
        <v>0.59944599389013398</v>
      </c>
      <c r="H25" s="191">
        <f t="shared" ref="H25" si="4">G25*(1+$D$25/$E$25*(1-F25))</f>
        <v>0.67732435456767026</v>
      </c>
      <c r="I25" s="215"/>
      <c r="J25" s="211"/>
      <c r="K25" s="211"/>
      <c r="L25" s="206"/>
      <c r="M25" s="206"/>
      <c r="N25" s="206"/>
      <c r="O25" s="206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ht="15.5" x14ac:dyDescent="0.35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ht="15.5" x14ac:dyDescent="0.35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ht="15.5" x14ac:dyDescent="0.35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ht="15.5" x14ac:dyDescent="0.35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ht="15.5" x14ac:dyDescent="0.35">
      <c r="A30" s="168"/>
      <c r="B30" s="206" t="s">
        <v>276</v>
      </c>
      <c r="C30" s="168"/>
      <c r="D30" s="284"/>
      <c r="E30" s="285"/>
      <c r="F30" s="285"/>
      <c r="G30" s="168"/>
      <c r="H30" s="168"/>
      <c r="I30" s="168"/>
      <c r="J30" s="168"/>
      <c r="K30" s="168"/>
      <c r="L30" s="168"/>
      <c r="M30" s="168"/>
      <c r="N30" s="168"/>
      <c r="O30" s="168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ht="15.5" x14ac:dyDescent="0.35">
      <c r="A31" s="168"/>
      <c r="B31" s="168"/>
      <c r="C31" s="216" t="s">
        <v>277</v>
      </c>
      <c r="D31" s="286" t="s">
        <v>278</v>
      </c>
      <c r="E31" s="287"/>
      <c r="F31" s="287"/>
      <c r="G31" s="217"/>
      <c r="H31" s="168"/>
      <c r="I31" s="168"/>
      <c r="J31" s="168"/>
      <c r="K31" s="168"/>
      <c r="L31" s="168"/>
      <c r="M31" s="168"/>
      <c r="N31" s="168"/>
      <c r="O31" s="168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ht="15.5" x14ac:dyDescent="0.35">
      <c r="A32" s="168"/>
      <c r="B32" s="206" t="s">
        <v>279</v>
      </c>
      <c r="C32" s="217"/>
      <c r="D32" s="216" t="s">
        <v>280</v>
      </c>
      <c r="E32" s="216" t="s">
        <v>281</v>
      </c>
      <c r="F32" s="216" t="s">
        <v>282</v>
      </c>
      <c r="G32" s="169" t="s">
        <v>206</v>
      </c>
      <c r="H32" s="168"/>
      <c r="I32" s="168"/>
      <c r="J32" s="168"/>
      <c r="K32" s="168"/>
      <c r="L32" s="168"/>
      <c r="M32" s="168"/>
      <c r="N32" s="168"/>
      <c r="O32" s="168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ht="15.5" x14ac:dyDescent="0.35">
      <c r="A33" s="168"/>
      <c r="B33" s="218">
        <v>45134</v>
      </c>
      <c r="C33" s="203">
        <f>4828+35626+1171</f>
        <v>41625</v>
      </c>
      <c r="D33" s="219">
        <v>62.44</v>
      </c>
      <c r="E33" s="220">
        <f>4324344812/10^6</f>
        <v>4324.3448120000003</v>
      </c>
      <c r="F33" s="203">
        <f t="shared" ref="F33:F35" si="5">E33*D33</f>
        <v>270012.09006128</v>
      </c>
      <c r="G33" s="205">
        <v>0.27</v>
      </c>
      <c r="H33" s="168"/>
      <c r="I33" s="168"/>
      <c r="J33" s="168"/>
      <c r="K33" s="168"/>
      <c r="L33" s="168"/>
      <c r="M33" s="168"/>
      <c r="N33" s="168"/>
      <c r="O33" s="168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ht="15.5" x14ac:dyDescent="0.35">
      <c r="A34" s="168"/>
      <c r="B34" s="218">
        <v>44769</v>
      </c>
      <c r="C34" s="203">
        <f>4358+788+36755</f>
        <v>41901</v>
      </c>
      <c r="D34" s="219">
        <v>63.01</v>
      </c>
      <c r="E34" s="220">
        <f>4324629174/10^6</f>
        <v>4324.6291739999997</v>
      </c>
      <c r="F34" s="203">
        <f t="shared" si="5"/>
        <v>272494.88425373996</v>
      </c>
      <c r="G34" s="205">
        <v>0.27</v>
      </c>
      <c r="H34" s="168"/>
      <c r="I34" s="168"/>
      <c r="J34" s="168"/>
      <c r="K34" s="168"/>
      <c r="L34" s="168"/>
      <c r="M34" s="168"/>
      <c r="N34" s="168"/>
      <c r="O34" s="168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ht="15.5" x14ac:dyDescent="0.35">
      <c r="A35" s="168"/>
      <c r="B35" s="218">
        <v>44403</v>
      </c>
      <c r="C35" s="203">
        <f>1867+337+39804</f>
        <v>42008</v>
      </c>
      <c r="D35" s="219">
        <v>57.06</v>
      </c>
      <c r="E35" s="220">
        <f>4316618703/10^6</f>
        <v>4316.6187030000001</v>
      </c>
      <c r="F35" s="203">
        <f t="shared" si="5"/>
        <v>246306.26319318003</v>
      </c>
      <c r="G35" s="205">
        <v>0.27</v>
      </c>
      <c r="H35" s="168"/>
      <c r="I35" s="168"/>
      <c r="J35" s="168"/>
      <c r="K35" s="168"/>
      <c r="L35" s="168"/>
      <c r="M35" s="168"/>
      <c r="N35" s="168"/>
      <c r="O35" s="168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ht="15.5" x14ac:dyDescent="0.35">
      <c r="A36" s="168"/>
      <c r="B36" s="221"/>
      <c r="C36" s="168"/>
      <c r="D36" s="222"/>
      <c r="E36" s="168"/>
      <c r="F36" s="203"/>
      <c r="G36" s="168"/>
      <c r="H36" s="168"/>
      <c r="I36" s="168"/>
      <c r="J36" s="168"/>
      <c r="K36" s="168"/>
      <c r="L36" s="168"/>
      <c r="M36" s="168"/>
      <c r="N36" s="168"/>
      <c r="O36" s="168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ht="15.5" x14ac:dyDescent="0.35">
      <c r="A37" s="168"/>
      <c r="B37" s="223" t="s">
        <v>283</v>
      </c>
      <c r="C37" s="168"/>
      <c r="D37" s="222"/>
      <c r="E37" s="168"/>
      <c r="F37" s="203"/>
      <c r="G37" s="168"/>
      <c r="H37" s="168"/>
      <c r="I37" s="168"/>
      <c r="J37" s="168"/>
      <c r="K37" s="168"/>
      <c r="L37" s="168"/>
      <c r="M37" s="168"/>
      <c r="N37" s="168"/>
      <c r="O37" s="168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ht="15.5" x14ac:dyDescent="0.35">
      <c r="A38" s="168"/>
      <c r="B38" s="218">
        <v>45120</v>
      </c>
      <c r="C38" s="203">
        <f>7613+36008</f>
        <v>43621</v>
      </c>
      <c r="D38" s="219">
        <v>187.53</v>
      </c>
      <c r="E38" s="220">
        <f>1376580611/10^6</f>
        <v>1376.5806110000001</v>
      </c>
      <c r="F38" s="203">
        <f>E38*D38</f>
        <v>258150.16198083002</v>
      </c>
      <c r="G38" s="205">
        <v>0.27</v>
      </c>
      <c r="H38" s="168"/>
      <c r="I38" s="168"/>
      <c r="J38" s="168"/>
      <c r="K38" s="168"/>
      <c r="L38" s="168"/>
      <c r="M38" s="168"/>
      <c r="N38" s="168"/>
      <c r="O38" s="168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ht="15.5" x14ac:dyDescent="0.35">
      <c r="A39" s="168"/>
      <c r="B39" s="218">
        <v>44754</v>
      </c>
      <c r="C39" s="203">
        <f>6032+33247</f>
        <v>39279</v>
      </c>
      <c r="D39" s="219">
        <v>169.5</v>
      </c>
      <c r="E39" s="220">
        <f>1380084844/10^6</f>
        <v>1380.084844</v>
      </c>
      <c r="F39" s="203">
        <f t="shared" ref="F39:F40" si="6">E39*D39</f>
        <v>233924.381058</v>
      </c>
      <c r="G39" s="205">
        <v>0.27</v>
      </c>
      <c r="H39" s="168"/>
      <c r="I39" s="168"/>
      <c r="J39" s="168"/>
      <c r="K39" s="168"/>
      <c r="L39" s="168"/>
      <c r="M39" s="168"/>
      <c r="N39" s="168"/>
      <c r="O39" s="168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ht="15.5" x14ac:dyDescent="0.35">
      <c r="A40" s="168"/>
      <c r="B40" s="218">
        <v>44390</v>
      </c>
      <c r="C40" s="203">
        <f>4264+38034</f>
        <v>42298</v>
      </c>
      <c r="D40" s="219">
        <v>152.96</v>
      </c>
      <c r="E40" s="220">
        <f>1382114956/10^6</f>
        <v>1382.1149559999999</v>
      </c>
      <c r="F40" s="203">
        <f t="shared" si="6"/>
        <v>211408.30366976</v>
      </c>
      <c r="G40" s="205">
        <v>0.27</v>
      </c>
      <c r="H40" s="168"/>
      <c r="I40" s="168"/>
      <c r="J40" s="168"/>
      <c r="K40" s="168"/>
      <c r="L40" s="168"/>
      <c r="M40" s="168"/>
      <c r="N40" s="168"/>
      <c r="O40" s="168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ht="15.5" x14ac:dyDescent="0.35">
      <c r="A41" s="168"/>
      <c r="B41" s="168"/>
      <c r="C41" s="168"/>
      <c r="D41" s="222"/>
      <c r="E41" s="168"/>
      <c r="F41" s="203"/>
      <c r="G41" s="168"/>
      <c r="H41" s="168"/>
      <c r="I41" s="168"/>
      <c r="J41" s="168"/>
      <c r="K41" s="168"/>
      <c r="L41" s="168"/>
      <c r="M41" s="168"/>
      <c r="N41" s="168"/>
      <c r="O41" s="168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ht="15.5" x14ac:dyDescent="0.35">
      <c r="A42" s="168"/>
      <c r="B42" s="223" t="s">
        <v>284</v>
      </c>
      <c r="C42" s="168"/>
      <c r="D42" s="222"/>
      <c r="E42" s="168"/>
      <c r="F42" s="203"/>
      <c r="G42" s="168"/>
      <c r="H42" s="168"/>
      <c r="I42" s="168"/>
      <c r="J42" s="168"/>
      <c r="K42" s="168"/>
      <c r="L42" s="168"/>
      <c r="M42" s="168"/>
      <c r="N42" s="168"/>
      <c r="O42" s="168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ht="15.5" x14ac:dyDescent="0.35">
      <c r="A43" s="168"/>
      <c r="B43" s="218">
        <v>45134</v>
      </c>
      <c r="C43" s="203">
        <f>2635+9934</f>
        <v>12569</v>
      </c>
      <c r="D43" s="219">
        <v>33.76</v>
      </c>
      <c r="E43" s="220">
        <f>1397259384/10^6</f>
        <v>1397.259384</v>
      </c>
      <c r="F43" s="203">
        <f t="shared" ref="F43:F45" si="7">E43*D43</f>
        <v>47171.476803839992</v>
      </c>
      <c r="G43" s="205">
        <v>0.27</v>
      </c>
      <c r="H43" s="168"/>
      <c r="I43" s="168"/>
      <c r="J43" s="168"/>
      <c r="K43" s="168"/>
      <c r="L43" s="168"/>
      <c r="M43" s="168"/>
      <c r="N43" s="168"/>
      <c r="O43" s="168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ht="15.5" x14ac:dyDescent="0.35">
      <c r="A44" s="168"/>
      <c r="B44" s="218">
        <v>44770</v>
      </c>
      <c r="C44" s="203">
        <f>0+11555</f>
        <v>11555</v>
      </c>
      <c r="D44" s="219">
        <v>38.5</v>
      </c>
      <c r="E44" s="220">
        <f>1416070252/10^6</f>
        <v>1416.070252</v>
      </c>
      <c r="F44" s="203">
        <f t="shared" si="7"/>
        <v>54518.704702000003</v>
      </c>
      <c r="G44" s="205">
        <v>0.27</v>
      </c>
      <c r="H44" s="168"/>
      <c r="I44" s="168"/>
      <c r="J44" s="168"/>
      <c r="K44" s="168"/>
      <c r="L44" s="168"/>
      <c r="M44" s="168"/>
      <c r="N44" s="168"/>
      <c r="O44" s="168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ht="15.5" x14ac:dyDescent="0.35">
      <c r="A45" s="168"/>
      <c r="B45" s="218">
        <v>44406</v>
      </c>
      <c r="C45" s="203">
        <f>1328+11721</f>
        <v>13049</v>
      </c>
      <c r="D45" s="219">
        <v>34.950000000000003</v>
      </c>
      <c r="E45" s="220">
        <f>1417476953/10^6</f>
        <v>1417.4769530000001</v>
      </c>
      <c r="F45" s="203">
        <f t="shared" si="7"/>
        <v>49540.81950735001</v>
      </c>
      <c r="G45" s="205">
        <v>0.27</v>
      </c>
      <c r="H45" s="168"/>
      <c r="I45" s="168"/>
      <c r="J45" s="168"/>
      <c r="K45" s="168"/>
      <c r="L45" s="168"/>
      <c r="M45" s="168"/>
      <c r="N45" s="168"/>
      <c r="O45" s="168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ht="15.5" x14ac:dyDescent="0.35">
      <c r="A46" s="168"/>
      <c r="B46" s="168"/>
      <c r="C46" s="168"/>
      <c r="D46" s="222"/>
      <c r="E46" s="168"/>
      <c r="F46" s="203"/>
      <c r="G46" s="168"/>
      <c r="H46" s="168"/>
      <c r="I46" s="168"/>
      <c r="J46" s="168"/>
      <c r="K46" s="168"/>
      <c r="L46" s="168"/>
      <c r="M46" s="168"/>
      <c r="N46" s="168"/>
      <c r="O46" s="168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ht="15.5" x14ac:dyDescent="0.35">
      <c r="A47" s="168"/>
      <c r="B47" s="224" t="s">
        <v>285</v>
      </c>
      <c r="C47" s="168"/>
      <c r="D47" s="222"/>
      <c r="E47" s="168"/>
      <c r="F47" s="203"/>
      <c r="G47" s="168"/>
      <c r="H47" s="168"/>
      <c r="I47" s="168"/>
      <c r="J47" s="168"/>
      <c r="K47" s="168"/>
      <c r="L47" s="168"/>
      <c r="M47" s="168"/>
      <c r="N47" s="168"/>
      <c r="O47" s="168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spans="1:26" ht="15.5" x14ac:dyDescent="0.35">
      <c r="A48" s="168"/>
      <c r="B48" s="218">
        <v>45051</v>
      </c>
      <c r="C48" s="191">
        <v>0</v>
      </c>
      <c r="D48" s="219">
        <v>59.71</v>
      </c>
      <c r="E48" s="220">
        <f>1046711932/10^6</f>
        <v>1046.7119319999999</v>
      </c>
      <c r="F48" s="203">
        <f t="shared" ref="F48:F50" si="8">E48*D48</f>
        <v>62499.169459719997</v>
      </c>
      <c r="G48" s="205">
        <v>0.27</v>
      </c>
      <c r="H48" s="168"/>
      <c r="I48" s="168"/>
      <c r="J48" s="168"/>
      <c r="K48" s="168"/>
      <c r="L48" s="168"/>
      <c r="M48" s="168"/>
      <c r="N48" s="168"/>
      <c r="O48" s="168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 spans="1:26" ht="15.5" x14ac:dyDescent="0.35">
      <c r="A49" s="168"/>
      <c r="B49" s="218">
        <v>44687</v>
      </c>
      <c r="C49" s="191">
        <v>0</v>
      </c>
      <c r="D49" s="219">
        <v>43.33</v>
      </c>
      <c r="E49" s="220">
        <f>529671407/10^6</f>
        <v>529.67140700000004</v>
      </c>
      <c r="F49" s="203">
        <f t="shared" si="8"/>
        <v>22950.66206531</v>
      </c>
      <c r="G49" s="205">
        <v>0.27</v>
      </c>
      <c r="H49" s="168"/>
      <c r="I49" s="168"/>
      <c r="J49" s="168"/>
      <c r="K49" s="168"/>
      <c r="L49" s="168"/>
      <c r="M49" s="168"/>
      <c r="N49" s="168"/>
      <c r="O49" s="168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 spans="1:26" ht="15.5" x14ac:dyDescent="0.35">
      <c r="A50" s="168"/>
      <c r="B50" s="218">
        <v>44323</v>
      </c>
      <c r="C50" s="191">
        <v>0</v>
      </c>
      <c r="D50" s="219">
        <v>45.63</v>
      </c>
      <c r="E50" s="220">
        <f>528562217/10^6</f>
        <v>528.56221700000003</v>
      </c>
      <c r="F50" s="203">
        <f t="shared" si="8"/>
        <v>24118.293961710002</v>
      </c>
      <c r="G50" s="205">
        <v>0.27</v>
      </c>
      <c r="H50" s="168"/>
      <c r="I50" s="168"/>
      <c r="J50" s="168"/>
      <c r="K50" s="168"/>
      <c r="L50" s="168"/>
      <c r="M50" s="168"/>
      <c r="N50" s="168"/>
      <c r="O50" s="168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 spans="1:26" ht="15.5" x14ac:dyDescent="0.35">
      <c r="A51" s="168"/>
      <c r="B51" s="168"/>
      <c r="C51" s="168"/>
      <c r="D51" s="222"/>
      <c r="E51" s="220"/>
      <c r="F51" s="203"/>
      <c r="G51" s="168"/>
      <c r="H51" s="168"/>
      <c r="I51" s="168"/>
      <c r="J51" s="168"/>
      <c r="K51" s="168"/>
      <c r="L51" s="168"/>
      <c r="M51" s="168"/>
      <c r="N51" s="168"/>
      <c r="O51" s="168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 spans="1:26" ht="15.5" x14ac:dyDescent="0.35">
      <c r="A52" s="168"/>
      <c r="B52" s="224" t="s">
        <v>286</v>
      </c>
      <c r="C52" s="168"/>
      <c r="D52" s="222"/>
      <c r="E52" s="220"/>
      <c r="F52" s="203"/>
      <c r="G52" s="168"/>
      <c r="H52" s="168"/>
      <c r="I52" s="168"/>
      <c r="J52" s="168"/>
      <c r="K52" s="168"/>
      <c r="L52" s="168"/>
      <c r="M52" s="168"/>
      <c r="N52" s="168"/>
      <c r="O52" s="168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spans="1:26" ht="15.5" x14ac:dyDescent="0.35">
      <c r="A53" s="168"/>
      <c r="B53" s="218">
        <v>45134</v>
      </c>
      <c r="C53" s="225">
        <f>2178+901+18147</f>
        <v>21226</v>
      </c>
      <c r="D53" s="219">
        <v>72.36</v>
      </c>
      <c r="E53" s="226">
        <f>1360417919/10^6</f>
        <v>1360.417919</v>
      </c>
      <c r="F53" s="203">
        <f t="shared" ref="F53:F55" si="9">E53*D53</f>
        <v>98439.840618839997</v>
      </c>
      <c r="G53" s="205">
        <v>0.27</v>
      </c>
      <c r="H53" s="168"/>
      <c r="I53" s="168"/>
      <c r="J53" s="168"/>
      <c r="K53" s="168"/>
      <c r="L53" s="168"/>
      <c r="M53" s="168"/>
      <c r="N53" s="168"/>
      <c r="O53" s="168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 spans="1:26" ht="15.5" x14ac:dyDescent="0.35">
      <c r="A54" s="168"/>
      <c r="B54" s="218">
        <v>44768</v>
      </c>
      <c r="C54" s="225">
        <f>605+746+17861</f>
        <v>19212</v>
      </c>
      <c r="D54" s="219">
        <v>62.94</v>
      </c>
      <c r="E54" s="226">
        <f>1370566113/10^6</f>
        <v>1370.5661130000001</v>
      </c>
      <c r="F54" s="203">
        <f t="shared" si="9"/>
        <v>86263.431152220001</v>
      </c>
      <c r="G54" s="205">
        <v>0.27</v>
      </c>
      <c r="H54" s="168"/>
      <c r="I54" s="168"/>
      <c r="J54" s="168"/>
      <c r="K54" s="168"/>
      <c r="L54" s="168"/>
      <c r="M54" s="168"/>
      <c r="N54" s="168"/>
      <c r="O54" s="168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spans="1:26" ht="15.5" x14ac:dyDescent="0.35">
      <c r="A55" s="168"/>
      <c r="B55" s="218">
        <v>44404</v>
      </c>
      <c r="C55" s="225">
        <f>64+1905+17046</f>
        <v>19015</v>
      </c>
      <c r="D55" s="219">
        <v>65.23</v>
      </c>
      <c r="E55" s="220">
        <f>1397817443/10^6</f>
        <v>1397.8174429999999</v>
      </c>
      <c r="F55" s="203">
        <f t="shared" si="9"/>
        <v>91179.63180689</v>
      </c>
      <c r="G55" s="205">
        <v>0.27</v>
      </c>
      <c r="H55" s="168"/>
      <c r="I55" s="168"/>
      <c r="J55" s="168"/>
      <c r="K55" s="168"/>
      <c r="L55" s="168"/>
      <c r="M55" s="168"/>
      <c r="N55" s="168"/>
      <c r="O55" s="168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 spans="1:26" ht="15.5" x14ac:dyDescent="0.35">
      <c r="A56" s="168"/>
      <c r="B56" s="168"/>
      <c r="C56" s="168"/>
      <c r="D56" s="168"/>
      <c r="E56" s="168"/>
      <c r="F56" s="203"/>
      <c r="G56" s="168"/>
      <c r="H56" s="168"/>
      <c r="I56" s="168"/>
      <c r="J56" s="168"/>
      <c r="K56" s="168"/>
      <c r="L56" s="168"/>
      <c r="M56" s="168"/>
      <c r="N56" s="168"/>
      <c r="O56" s="168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spans="1:26" ht="15.5" x14ac:dyDescent="0.35">
      <c r="A57" s="168"/>
      <c r="B57" s="224" t="s">
        <v>287</v>
      </c>
      <c r="C57" s="168"/>
      <c r="D57" s="222"/>
      <c r="E57" s="220"/>
      <c r="F57" s="203"/>
      <c r="G57" s="168"/>
      <c r="H57" s="168"/>
      <c r="I57" s="168"/>
      <c r="J57" s="168"/>
      <c r="K57" s="168"/>
      <c r="L57" s="168"/>
      <c r="M57" s="168"/>
      <c r="N57" s="168"/>
      <c r="O57" s="168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 spans="1:26" ht="15.5" x14ac:dyDescent="0.35">
      <c r="A58" s="168"/>
      <c r="B58" s="218">
        <v>45134</v>
      </c>
      <c r="C58" s="168">
        <f>860+8+4086</f>
        <v>4954</v>
      </c>
      <c r="D58" s="219">
        <v>233.56</v>
      </c>
      <c r="E58" s="220">
        <f>(149854381)/10^6</f>
        <v>149.85438099999999</v>
      </c>
      <c r="F58" s="203">
        <f t="shared" ref="F58:F60" si="10">D58*E58</f>
        <v>34999.989226359998</v>
      </c>
      <c r="G58" s="205">
        <v>0.27</v>
      </c>
      <c r="H58" s="168"/>
      <c r="I58" s="168"/>
      <c r="J58" s="168"/>
      <c r="K58" s="168"/>
      <c r="L58" s="168"/>
      <c r="M58" s="168"/>
      <c r="N58" s="168"/>
      <c r="O58" s="168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 spans="1:26" ht="15.5" x14ac:dyDescent="0.35">
      <c r="A59" s="168"/>
      <c r="B59" s="218">
        <v>44770</v>
      </c>
      <c r="C59" s="168">
        <f>915+752+3340</f>
        <v>5007</v>
      </c>
      <c r="D59" s="219">
        <v>224.27</v>
      </c>
      <c r="E59" s="220">
        <f>+(146869652)/10^6</f>
        <v>146.869652</v>
      </c>
      <c r="F59" s="203">
        <f t="shared" si="10"/>
        <v>32938.45685404</v>
      </c>
      <c r="G59" s="205">
        <v>0.27</v>
      </c>
      <c r="H59" s="168"/>
      <c r="I59" s="168"/>
      <c r="J59" s="168"/>
      <c r="K59" s="168"/>
      <c r="L59" s="168"/>
      <c r="M59" s="168"/>
      <c r="N59" s="168"/>
      <c r="O59" s="168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 spans="1:26" ht="15.5" x14ac:dyDescent="0.35">
      <c r="A60" s="168"/>
      <c r="B60" s="218">
        <v>44406</v>
      </c>
      <c r="C60" s="168">
        <f>207+3+4095</f>
        <v>4305</v>
      </c>
      <c r="D60" s="219">
        <v>178.52</v>
      </c>
      <c r="E60" s="220">
        <f>+(145425767)/10^6</f>
        <v>145.42576700000001</v>
      </c>
      <c r="F60" s="203">
        <f t="shared" si="10"/>
        <v>25961.407924840001</v>
      </c>
      <c r="G60" s="205">
        <v>0.27</v>
      </c>
      <c r="H60" s="168"/>
      <c r="I60" s="168"/>
      <c r="J60" s="168"/>
      <c r="K60" s="168"/>
      <c r="L60" s="168"/>
      <c r="M60" s="168"/>
      <c r="N60" s="168"/>
      <c r="O60" s="168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spans="1:26" ht="15.5" x14ac:dyDescent="0.35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.5" x14ac:dyDescent="0.35">
      <c r="A62" s="168"/>
      <c r="B62" s="224" t="s">
        <v>288</v>
      </c>
      <c r="C62" s="168"/>
      <c r="D62" s="222"/>
      <c r="E62" s="220"/>
      <c r="F62" s="203"/>
      <c r="G62" s="168"/>
      <c r="H62" s="168"/>
      <c r="I62" s="168"/>
      <c r="J62" s="168"/>
      <c r="K62" s="168"/>
      <c r="L62" s="168"/>
      <c r="M62" s="168"/>
      <c r="N62" s="168"/>
      <c r="O62" s="168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 spans="1:26" ht="15.5" x14ac:dyDescent="0.35">
      <c r="A63" s="168"/>
      <c r="B63" s="218">
        <v>45107</v>
      </c>
      <c r="C63" s="225">
        <f>819+558+10980</f>
        <v>12357</v>
      </c>
      <c r="D63" s="191">
        <v>272.8</v>
      </c>
      <c r="E63" s="220">
        <f>183300716/10^6</f>
        <v>183.30071599999999</v>
      </c>
      <c r="F63" s="203">
        <f t="shared" ref="F63:F65" si="11">D63*E63</f>
        <v>50004.435324799997</v>
      </c>
      <c r="G63" s="205">
        <v>0.27</v>
      </c>
      <c r="H63" s="168"/>
      <c r="I63" s="168"/>
      <c r="J63" s="168"/>
      <c r="K63" s="168"/>
      <c r="L63" s="168"/>
      <c r="M63" s="168"/>
      <c r="N63" s="168"/>
      <c r="O63" s="168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 spans="1:26" ht="15.5" x14ac:dyDescent="0.35">
      <c r="A64" s="168"/>
      <c r="B64" s="218">
        <v>44742</v>
      </c>
      <c r="C64" s="225">
        <f>124+575+10278</f>
        <v>10977</v>
      </c>
      <c r="D64" s="191">
        <v>233.06</v>
      </c>
      <c r="E64" s="220">
        <f>159330225/10^6</f>
        <v>159.33022500000001</v>
      </c>
      <c r="F64" s="203">
        <f t="shared" si="11"/>
        <v>37133.502238500005</v>
      </c>
      <c r="G64" s="205">
        <v>0.27</v>
      </c>
      <c r="H64" s="168"/>
      <c r="I64" s="168"/>
      <c r="J64" s="168"/>
      <c r="K64" s="168"/>
      <c r="L64" s="168"/>
      <c r="M64" s="168"/>
      <c r="N64" s="168"/>
      <c r="O64" s="168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 spans="1:26" ht="15.5" x14ac:dyDescent="0.35">
      <c r="A65" s="168"/>
      <c r="B65" s="218">
        <v>44377</v>
      </c>
      <c r="C65" s="225">
        <f>529+9915</f>
        <v>10444</v>
      </c>
      <c r="D65" s="191">
        <v>233.89</v>
      </c>
      <c r="E65" s="220">
        <f>168251351/10^6</f>
        <v>168.251351</v>
      </c>
      <c r="F65" s="203">
        <f t="shared" si="11"/>
        <v>39352.30848539</v>
      </c>
      <c r="G65" s="205">
        <v>0.27</v>
      </c>
      <c r="H65" s="168"/>
      <c r="I65" s="168"/>
      <c r="J65" s="168"/>
      <c r="K65" s="168"/>
      <c r="L65" s="168"/>
      <c r="M65" s="168"/>
      <c r="N65" s="168"/>
      <c r="O65" s="168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 spans="1:26" ht="15.5" x14ac:dyDescent="0.35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 spans="1:26" ht="15.5" x14ac:dyDescent="0.35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spans="1:26" ht="15.5" x14ac:dyDescent="0.35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spans="1:26" ht="15.5" x14ac:dyDescent="0.35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 spans="1:26" ht="15.5" x14ac:dyDescent="0.35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 spans="1:26" ht="15.5" x14ac:dyDescent="0.35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 spans="1:26" ht="15.5" x14ac:dyDescent="0.35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 spans="1:26" ht="15.5" x14ac:dyDescent="0.35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 spans="1:26" ht="15.5" x14ac:dyDescent="0.35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spans="1:26" ht="15.5" x14ac:dyDescent="0.35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 spans="1:26" ht="15.5" x14ac:dyDescent="0.35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 spans="1:26" ht="15.5" x14ac:dyDescent="0.35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 spans="1:26" ht="15.5" x14ac:dyDescent="0.35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 spans="1:26" ht="15.5" x14ac:dyDescent="0.35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 spans="1:26" ht="15.5" x14ac:dyDescent="0.35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 spans="1:26" ht="15.5" x14ac:dyDescent="0.35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 spans="1:26" ht="15.5" x14ac:dyDescent="0.3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spans="1:26" ht="15.5" x14ac:dyDescent="0.35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 spans="1:26" ht="15.5" x14ac:dyDescent="0.35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 spans="1:26" ht="15.5" x14ac:dyDescent="0.3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 spans="1:26" ht="15.5" x14ac:dyDescent="0.35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 spans="1:26" ht="15.5" x14ac:dyDescent="0.35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 spans="1:26" ht="15.5" x14ac:dyDescent="0.35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 spans="1:26" ht="15.5" x14ac:dyDescent="0.35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 spans="1:26" ht="15.5" x14ac:dyDescent="0.35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 spans="1:26" ht="15.5" x14ac:dyDescent="0.35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 spans="1:26" ht="15.5" x14ac:dyDescent="0.35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 spans="1:26" ht="15.5" x14ac:dyDescent="0.3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 spans="1:26" ht="15.5" x14ac:dyDescent="0.3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 spans="1:26" ht="15.5" x14ac:dyDescent="0.3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 spans="1:26" ht="15.5" x14ac:dyDescent="0.3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 spans="1:26" ht="15.5" x14ac:dyDescent="0.3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spans="1:26" ht="15.5" x14ac:dyDescent="0.35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 spans="1:26" ht="15.5" x14ac:dyDescent="0.35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 spans="1:26" ht="15.5" x14ac:dyDescent="0.35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 spans="1:26" ht="15.5" x14ac:dyDescent="0.35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 spans="1:26" ht="15.5" x14ac:dyDescent="0.35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 spans="1:26" ht="15.5" x14ac:dyDescent="0.35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 spans="1:26" ht="15.5" x14ac:dyDescent="0.35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 spans="1:26" ht="15.5" x14ac:dyDescent="0.3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 spans="1:26" ht="15.5" x14ac:dyDescent="0.35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 spans="1:26" ht="15.5" x14ac:dyDescent="0.35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 spans="1:26" ht="15.5" x14ac:dyDescent="0.35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 spans="1:26" ht="15.5" x14ac:dyDescent="0.35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 spans="1:26" ht="15.5" x14ac:dyDescent="0.35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spans="1:26" ht="15.5" x14ac:dyDescent="0.35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spans="1:26" ht="15.5" x14ac:dyDescent="0.35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spans="1:26" ht="15.5" x14ac:dyDescent="0.35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spans="1:26" ht="15.5" x14ac:dyDescent="0.35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spans="1:26" ht="15.5" x14ac:dyDescent="0.3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spans="1:26" ht="15.5" x14ac:dyDescent="0.35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spans="1:26" ht="15.5" x14ac:dyDescent="0.35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spans="1:26" ht="15.5" x14ac:dyDescent="0.35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spans="1:26" ht="15.5" x14ac:dyDescent="0.35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spans="1:26" ht="15.5" x14ac:dyDescent="0.35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spans="1:26" ht="15.5" x14ac:dyDescent="0.35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spans="1:26" ht="15.5" x14ac:dyDescent="0.35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spans="1:26" ht="15.5" x14ac:dyDescent="0.35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spans="1:26" ht="15.5" x14ac:dyDescent="0.35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spans="1:26" ht="15.5" x14ac:dyDescent="0.3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spans="1:26" ht="15.5" x14ac:dyDescent="0.35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spans="1:26" ht="15.5" x14ac:dyDescent="0.35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spans="1:26" ht="15.5" x14ac:dyDescent="0.35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spans="1:26" ht="15.5" x14ac:dyDescent="0.35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spans="1:26" ht="15.5" x14ac:dyDescent="0.35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spans="1:26" ht="15.5" x14ac:dyDescent="0.35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spans="1:26" ht="15.5" x14ac:dyDescent="0.35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spans="1:26" ht="15.5" x14ac:dyDescent="0.35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spans="1:26" ht="15.5" x14ac:dyDescent="0.35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spans="1:26" ht="15.5" x14ac:dyDescent="0.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spans="1:26" ht="15.5" x14ac:dyDescent="0.35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spans="1:26" ht="15.5" x14ac:dyDescent="0.35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spans="1:26" ht="15.5" x14ac:dyDescent="0.3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spans="1:26" ht="15.5" x14ac:dyDescent="0.3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spans="1:26" ht="15.5" x14ac:dyDescent="0.3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spans="1:26" ht="15.5" x14ac:dyDescent="0.35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spans="1:26" ht="15.5" x14ac:dyDescent="0.35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spans="1:26" ht="15.5" x14ac:dyDescent="0.35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spans="1:26" ht="15.5" x14ac:dyDescent="0.35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spans="1:26" ht="15.5" x14ac:dyDescent="0.3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spans="1:26" ht="15.5" x14ac:dyDescent="0.35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spans="1:26" ht="15.5" x14ac:dyDescent="0.35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spans="1:26" ht="15.5" x14ac:dyDescent="0.35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spans="1:26" ht="15.5" x14ac:dyDescent="0.35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spans="1:26" ht="15.5" x14ac:dyDescent="0.35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spans="1:26" ht="15.5" x14ac:dyDescent="0.35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spans="1:26" ht="15.5" x14ac:dyDescent="0.35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spans="1:26" ht="15.5" x14ac:dyDescent="0.35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spans="1:26" ht="15.5" x14ac:dyDescent="0.35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spans="1:26" ht="15.5" x14ac:dyDescent="0.3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spans="1:26" ht="15.5" x14ac:dyDescent="0.35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spans="1:26" ht="15.5" x14ac:dyDescent="0.35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spans="1:26" ht="15.5" x14ac:dyDescent="0.35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spans="1:26" ht="15.5" x14ac:dyDescent="0.35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spans="1:26" ht="15.5" x14ac:dyDescent="0.35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spans="1:26" ht="15.5" x14ac:dyDescent="0.35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spans="1:26" ht="15.5" x14ac:dyDescent="0.35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spans="1:26" ht="15.5" x14ac:dyDescent="0.35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spans="1:26" ht="15.5" x14ac:dyDescent="0.35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spans="1:26" ht="15.5" x14ac:dyDescent="0.3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spans="1:26" ht="15.5" x14ac:dyDescent="0.35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spans="1:26" ht="15.5" x14ac:dyDescent="0.35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spans="1:26" ht="15.5" x14ac:dyDescent="0.35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spans="1:26" ht="15.5" x14ac:dyDescent="0.35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spans="1:26" ht="15.5" x14ac:dyDescent="0.35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spans="1:26" ht="15.5" x14ac:dyDescent="0.35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spans="1:26" ht="15.5" x14ac:dyDescent="0.35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spans="1:26" ht="15.5" x14ac:dyDescent="0.35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spans="1:26" ht="15.5" x14ac:dyDescent="0.35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spans="1:26" ht="15.5" x14ac:dyDescent="0.3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spans="1:26" ht="15.5" x14ac:dyDescent="0.35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spans="1:26" ht="15.5" x14ac:dyDescent="0.35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spans="1:26" ht="15.5" x14ac:dyDescent="0.35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spans="1:26" ht="15.5" x14ac:dyDescent="0.35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spans="1:26" ht="15.5" x14ac:dyDescent="0.35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spans="1:26" ht="15.5" x14ac:dyDescent="0.35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spans="1:26" ht="15.5" x14ac:dyDescent="0.35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spans="1:26" ht="15.5" x14ac:dyDescent="0.35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spans="1:26" ht="15.5" x14ac:dyDescent="0.35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spans="1:26" ht="15.5" x14ac:dyDescent="0.3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spans="1:26" ht="15.5" x14ac:dyDescent="0.35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spans="1:26" ht="15.5" x14ac:dyDescent="0.35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spans="1:26" ht="15.5" x14ac:dyDescent="0.35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spans="1:26" ht="15.5" x14ac:dyDescent="0.35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spans="1:26" ht="15.5" x14ac:dyDescent="0.35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spans="1:26" ht="15.5" x14ac:dyDescent="0.35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spans="1:26" ht="15.5" x14ac:dyDescent="0.35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spans="1:26" ht="15.5" x14ac:dyDescent="0.35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spans="1:26" ht="15.5" x14ac:dyDescent="0.35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spans="1:26" ht="15.5" x14ac:dyDescent="0.3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spans="1:26" ht="15.5" x14ac:dyDescent="0.35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spans="1:26" ht="15.5" x14ac:dyDescent="0.35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spans="1:26" ht="15.5" x14ac:dyDescent="0.35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spans="1:26" ht="15.5" x14ac:dyDescent="0.35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spans="1:26" ht="15.5" x14ac:dyDescent="0.35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spans="1:26" ht="15.5" x14ac:dyDescent="0.35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spans="1:26" ht="15.5" x14ac:dyDescent="0.35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spans="1:26" ht="15.5" x14ac:dyDescent="0.35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spans="1:26" ht="15.5" x14ac:dyDescent="0.35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spans="1:26" ht="15.5" x14ac:dyDescent="0.3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spans="1:26" ht="15.5" x14ac:dyDescent="0.35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spans="1:26" ht="15.5" x14ac:dyDescent="0.35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spans="1:26" ht="15.5" x14ac:dyDescent="0.35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spans="1:26" ht="15.5" x14ac:dyDescent="0.35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spans="1:26" ht="15.5" x14ac:dyDescent="0.35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spans="1:26" ht="15.5" x14ac:dyDescent="0.35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spans="1:26" ht="15.5" x14ac:dyDescent="0.35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spans="1:26" ht="15.5" x14ac:dyDescent="0.35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spans="1:26" ht="15.5" x14ac:dyDescent="0.35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spans="1:26" ht="15.5" x14ac:dyDescent="0.3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spans="1:26" ht="15.5" x14ac:dyDescent="0.35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spans="1:26" ht="15.5" x14ac:dyDescent="0.35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spans="1:26" ht="15.5" x14ac:dyDescent="0.35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spans="1:26" ht="15.5" x14ac:dyDescent="0.35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spans="1:26" ht="15.5" x14ac:dyDescent="0.35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spans="1:26" ht="15.5" x14ac:dyDescent="0.35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spans="1:26" ht="15.5" x14ac:dyDescent="0.35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spans="1:26" ht="15.5" x14ac:dyDescent="0.35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spans="1:26" ht="15.5" x14ac:dyDescent="0.35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spans="1:26" ht="15.5" x14ac:dyDescent="0.3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spans="1:26" ht="15.5" x14ac:dyDescent="0.35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spans="1:26" ht="15.5" x14ac:dyDescent="0.35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spans="1:26" ht="15.5" x14ac:dyDescent="0.35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spans="1:26" ht="15.5" x14ac:dyDescent="0.35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spans="1:26" ht="15.5" x14ac:dyDescent="0.35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spans="1:26" ht="15.5" x14ac:dyDescent="0.35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spans="1:26" ht="15.5" x14ac:dyDescent="0.35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spans="1:26" ht="15.5" x14ac:dyDescent="0.35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spans="1:26" ht="15.5" x14ac:dyDescent="0.35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spans="1:26" ht="15.5" x14ac:dyDescent="0.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spans="1:26" ht="15.5" x14ac:dyDescent="0.35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spans="1:26" ht="15.5" x14ac:dyDescent="0.35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spans="1:26" ht="15.5" x14ac:dyDescent="0.35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spans="1:26" ht="15.5" x14ac:dyDescent="0.35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spans="1:26" ht="15.5" x14ac:dyDescent="0.35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spans="1:26" ht="15.5" x14ac:dyDescent="0.35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spans="1:26" ht="15.5" x14ac:dyDescent="0.35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spans="1:26" ht="15.5" x14ac:dyDescent="0.35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spans="1:26" ht="15.5" x14ac:dyDescent="0.35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spans="1:26" ht="15.5" x14ac:dyDescent="0.3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spans="1:26" ht="15.5" x14ac:dyDescent="0.35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spans="1:26" ht="15.5" x14ac:dyDescent="0.35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spans="1:26" ht="15.5" x14ac:dyDescent="0.35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spans="1:26" ht="15.5" x14ac:dyDescent="0.35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spans="1:26" ht="15.5" x14ac:dyDescent="0.35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spans="1:26" ht="15.5" x14ac:dyDescent="0.35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spans="1:26" ht="15.5" x14ac:dyDescent="0.35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spans="1:26" ht="15.5" x14ac:dyDescent="0.35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spans="1:26" ht="15.5" x14ac:dyDescent="0.35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spans="1:26" ht="15.5" x14ac:dyDescent="0.3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spans="1:26" ht="15.5" x14ac:dyDescent="0.35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spans="1:26" ht="15.5" x14ac:dyDescent="0.35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spans="1:26" ht="15.5" x14ac:dyDescent="0.35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spans="1:26" ht="15.5" x14ac:dyDescent="0.35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spans="1:26" ht="15.5" x14ac:dyDescent="0.35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spans="1:26" ht="15.5" x14ac:dyDescent="0.35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spans="1:26" ht="15.5" x14ac:dyDescent="0.35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spans="1:26" ht="15.5" x14ac:dyDescent="0.35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spans="1:26" ht="15.5" x14ac:dyDescent="0.35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spans="1:26" ht="15.5" x14ac:dyDescent="0.3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spans="1:26" ht="15.5" x14ac:dyDescent="0.35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spans="1:26" ht="15.5" x14ac:dyDescent="0.35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spans="1:26" ht="15.5" x14ac:dyDescent="0.35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spans="1:26" ht="15.5" x14ac:dyDescent="0.35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spans="1:26" ht="15.5" x14ac:dyDescent="0.35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spans="1:26" ht="15.5" x14ac:dyDescent="0.35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spans="1:26" ht="15.5" x14ac:dyDescent="0.35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spans="1:26" ht="15.5" x14ac:dyDescent="0.35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spans="1:26" ht="15.5" x14ac:dyDescent="0.35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spans="1:26" ht="15.5" x14ac:dyDescent="0.3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spans="1:26" ht="15.5" x14ac:dyDescent="0.35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spans="1:26" ht="15.5" x14ac:dyDescent="0.35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spans="1:26" ht="15.5" x14ac:dyDescent="0.35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spans="1:26" ht="15.5" x14ac:dyDescent="0.35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spans="1:26" ht="15.5" x14ac:dyDescent="0.35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spans="1:26" ht="15.5" x14ac:dyDescent="0.35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spans="1:26" ht="15.5" x14ac:dyDescent="0.35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spans="1:26" ht="15.5" x14ac:dyDescent="0.35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spans="1:26" ht="15.5" x14ac:dyDescent="0.35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spans="1:26" ht="15.5" x14ac:dyDescent="0.3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spans="1:26" ht="15.5" x14ac:dyDescent="0.35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spans="1:26" ht="15.5" x14ac:dyDescent="0.35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spans="1:26" ht="15.5" x14ac:dyDescent="0.35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spans="1:26" ht="15.5" x14ac:dyDescent="0.35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spans="1:26" ht="15.5" x14ac:dyDescent="0.35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spans="1:26" ht="15.5" x14ac:dyDescent="0.35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spans="1:26" ht="15.5" x14ac:dyDescent="0.35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spans="1:26" ht="15.5" x14ac:dyDescent="0.35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spans="1:26" ht="15.5" x14ac:dyDescent="0.35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spans="1:26" ht="15.5" x14ac:dyDescent="0.3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spans="1:26" ht="15.5" x14ac:dyDescent="0.35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spans="1:26" ht="15.5" x14ac:dyDescent="0.35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spans="1:26" ht="15.5" x14ac:dyDescent="0.35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spans="1:26" ht="15.5" x14ac:dyDescent="0.35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spans="1:26" ht="15.5" x14ac:dyDescent="0.35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spans="1:26" ht="15.5" x14ac:dyDescent="0.35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spans="1:26" ht="15.5" x14ac:dyDescent="0.35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spans="1:26" ht="15.5" x14ac:dyDescent="0.35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spans="1:26" ht="15.5" x14ac:dyDescent="0.35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spans="1:26" ht="15.5" x14ac:dyDescent="0.3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spans="1:26" ht="15.5" x14ac:dyDescent="0.35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spans="1:26" ht="15.5" x14ac:dyDescent="0.35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spans="1:26" ht="15.5" x14ac:dyDescent="0.35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spans="1:26" ht="15.5" x14ac:dyDescent="0.35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spans="1:26" ht="15.5" x14ac:dyDescent="0.35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spans="1:26" ht="15.5" x14ac:dyDescent="0.35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spans="1:26" ht="15.5" x14ac:dyDescent="0.35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spans="1:26" ht="15.5" x14ac:dyDescent="0.35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spans="1:26" ht="15.5" x14ac:dyDescent="0.35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spans="1:26" ht="15.5" x14ac:dyDescent="0.3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spans="1:26" ht="15.5" x14ac:dyDescent="0.35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spans="1:26" ht="15.5" x14ac:dyDescent="0.35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spans="1:26" ht="15.5" x14ac:dyDescent="0.35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spans="1:26" ht="15.5" x14ac:dyDescent="0.35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spans="1:26" ht="15.5" x14ac:dyDescent="0.35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spans="1:26" ht="15.5" x14ac:dyDescent="0.35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spans="1:26" ht="15.5" x14ac:dyDescent="0.35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spans="1:26" ht="15.5" x14ac:dyDescent="0.35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spans="1:26" ht="15.5" x14ac:dyDescent="0.35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spans="1:26" ht="15.5" x14ac:dyDescent="0.3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spans="1:26" ht="15.5" x14ac:dyDescent="0.35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spans="1:26" ht="15.5" x14ac:dyDescent="0.35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spans="1:26" ht="15.5" x14ac:dyDescent="0.35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spans="1:26" ht="15.5" x14ac:dyDescent="0.35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spans="1:26" ht="15.5" x14ac:dyDescent="0.35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spans="1:26" ht="15.5" x14ac:dyDescent="0.35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spans="1:26" ht="15.5" x14ac:dyDescent="0.35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spans="1:26" ht="15.5" x14ac:dyDescent="0.35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spans="1:26" ht="15.5" x14ac:dyDescent="0.35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spans="1:26" ht="15.5" x14ac:dyDescent="0.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spans="1:26" ht="15.5" x14ac:dyDescent="0.35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spans="1:26" ht="15.5" x14ac:dyDescent="0.35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spans="1:26" ht="15.5" x14ac:dyDescent="0.35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spans="1:26" ht="15.5" x14ac:dyDescent="0.35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spans="1:26" ht="15.5" x14ac:dyDescent="0.35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spans="1:26" ht="15.5" x14ac:dyDescent="0.35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spans="1:26" ht="15.5" x14ac:dyDescent="0.35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spans="1:26" ht="15.5" x14ac:dyDescent="0.35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spans="1:26" ht="15.5" x14ac:dyDescent="0.35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spans="1:26" ht="15.5" x14ac:dyDescent="0.3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spans="1:26" ht="15.5" x14ac:dyDescent="0.35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spans="1:26" ht="15.5" x14ac:dyDescent="0.35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spans="1:26" ht="15.5" x14ac:dyDescent="0.35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spans="1:26" ht="15.5" x14ac:dyDescent="0.35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spans="1:26" ht="15.5" x14ac:dyDescent="0.35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spans="1:26" ht="15.5" x14ac:dyDescent="0.35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spans="1:26" ht="15.5" x14ac:dyDescent="0.35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spans="1:26" ht="15.5" x14ac:dyDescent="0.35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spans="1:26" ht="15.5" x14ac:dyDescent="0.35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spans="1:26" ht="15.5" x14ac:dyDescent="0.3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spans="1:26" ht="15.5" x14ac:dyDescent="0.35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spans="1:26" ht="15.5" x14ac:dyDescent="0.35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spans="1:26" ht="15.5" x14ac:dyDescent="0.35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spans="1:26" ht="15.5" x14ac:dyDescent="0.35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spans="1:26" ht="15.5" x14ac:dyDescent="0.35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spans="1:26" ht="15.5" x14ac:dyDescent="0.35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spans="1:26" ht="15.5" x14ac:dyDescent="0.35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spans="1:26" ht="15.5" x14ac:dyDescent="0.35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spans="1:26" ht="15.5" x14ac:dyDescent="0.35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spans="1:26" ht="15.5" x14ac:dyDescent="0.3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spans="1:26" ht="15.5" x14ac:dyDescent="0.35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spans="1:26" ht="15.5" x14ac:dyDescent="0.35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spans="1:26" ht="15.5" x14ac:dyDescent="0.35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spans="1:26" ht="15.5" x14ac:dyDescent="0.35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spans="1:26" ht="15.5" x14ac:dyDescent="0.35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spans="1:26" ht="15.5" x14ac:dyDescent="0.35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spans="1:26" ht="15.5" x14ac:dyDescent="0.35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spans="1:26" ht="15.5" x14ac:dyDescent="0.35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spans="1:26" ht="15.5" x14ac:dyDescent="0.35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spans="1:26" ht="15.5" x14ac:dyDescent="0.3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spans="1:26" ht="15.5" x14ac:dyDescent="0.35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spans="1:26" ht="15.5" x14ac:dyDescent="0.35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spans="1:26" ht="15.5" x14ac:dyDescent="0.35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spans="1:26" ht="15.5" x14ac:dyDescent="0.35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spans="1:26" ht="15.5" x14ac:dyDescent="0.35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spans="1:26" ht="15.5" x14ac:dyDescent="0.35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spans="1:26" ht="15.5" x14ac:dyDescent="0.35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spans="1:26" ht="15.5" x14ac:dyDescent="0.35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spans="1:26" ht="15.5" x14ac:dyDescent="0.35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spans="1:26" ht="15.5" x14ac:dyDescent="0.3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spans="1:26" ht="15.5" x14ac:dyDescent="0.35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spans="1:26" ht="15.5" x14ac:dyDescent="0.35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spans="1:26" ht="15.5" x14ac:dyDescent="0.35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spans="1:26" ht="15.5" x14ac:dyDescent="0.35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spans="1:26" ht="15.5" x14ac:dyDescent="0.35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spans="1:26" ht="15.5" x14ac:dyDescent="0.35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spans="1:26" ht="15.5" x14ac:dyDescent="0.35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spans="1:26" ht="15.5" x14ac:dyDescent="0.35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spans="1:26" ht="15.5" x14ac:dyDescent="0.35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spans="1:26" ht="15.5" x14ac:dyDescent="0.3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spans="1:26" ht="15.5" x14ac:dyDescent="0.35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spans="1:26" ht="15.5" x14ac:dyDescent="0.35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spans="1:26" ht="15.5" x14ac:dyDescent="0.35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spans="1:26" ht="15.5" x14ac:dyDescent="0.35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spans="1:26" ht="15.5" x14ac:dyDescent="0.35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spans="1:26" ht="15.5" x14ac:dyDescent="0.35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spans="1:26" ht="15.5" x14ac:dyDescent="0.35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spans="1:26" ht="15.5" x14ac:dyDescent="0.35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spans="1:26" ht="15.5" x14ac:dyDescent="0.35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spans="1:26" ht="15.5" x14ac:dyDescent="0.3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spans="1:26" ht="15.5" x14ac:dyDescent="0.35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spans="1:26" ht="15.5" x14ac:dyDescent="0.35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spans="1:26" ht="15.5" x14ac:dyDescent="0.35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spans="1:26" ht="15.5" x14ac:dyDescent="0.35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spans="1:26" ht="15.5" x14ac:dyDescent="0.35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spans="1:26" ht="15.5" x14ac:dyDescent="0.35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spans="1:26" ht="15.5" x14ac:dyDescent="0.35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spans="1:26" ht="15.5" x14ac:dyDescent="0.35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spans="1:26" ht="15.5" x14ac:dyDescent="0.35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spans="1:26" ht="15.5" x14ac:dyDescent="0.3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spans="1:26" ht="15.5" x14ac:dyDescent="0.35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spans="1:26" ht="15.5" x14ac:dyDescent="0.35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spans="1:26" ht="15.5" x14ac:dyDescent="0.35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spans="1:26" ht="15.5" x14ac:dyDescent="0.35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spans="1:26" ht="15.5" x14ac:dyDescent="0.35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spans="1:26" ht="15.5" x14ac:dyDescent="0.35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spans="1:26" ht="15.5" x14ac:dyDescent="0.35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spans="1:26" ht="15.5" x14ac:dyDescent="0.35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spans="1:26" ht="15.5" x14ac:dyDescent="0.35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spans="1:26" ht="15.5" x14ac:dyDescent="0.3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spans="1:26" ht="15.5" x14ac:dyDescent="0.35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spans="1:26" ht="15.5" x14ac:dyDescent="0.35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spans="1:26" ht="15.5" x14ac:dyDescent="0.35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spans="1:26" ht="15.5" x14ac:dyDescent="0.35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spans="1:26" ht="15.5" x14ac:dyDescent="0.35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spans="1:26" ht="15.5" x14ac:dyDescent="0.35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spans="1:26" ht="15.5" x14ac:dyDescent="0.35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spans="1:26" ht="15.5" x14ac:dyDescent="0.35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spans="1:26" ht="15.5" x14ac:dyDescent="0.35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spans="1:26" ht="15.5" x14ac:dyDescent="0.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spans="1:26" ht="15.5" x14ac:dyDescent="0.35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spans="1:26" ht="15.5" x14ac:dyDescent="0.35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spans="1:26" ht="15.5" x14ac:dyDescent="0.35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spans="1:26" ht="15.5" x14ac:dyDescent="0.35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spans="1:26" ht="15.5" x14ac:dyDescent="0.35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spans="1:26" ht="15.5" x14ac:dyDescent="0.35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spans="1:26" ht="15.5" x14ac:dyDescent="0.35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spans="1:26" ht="15.5" x14ac:dyDescent="0.35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spans="1:26" ht="15.5" x14ac:dyDescent="0.35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spans="1:26" ht="15.5" x14ac:dyDescent="0.3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spans="1:26" ht="15.5" x14ac:dyDescent="0.35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spans="1:26" ht="15.5" x14ac:dyDescent="0.35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spans="1:26" ht="15.5" x14ac:dyDescent="0.35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spans="1:26" ht="15.5" x14ac:dyDescent="0.35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spans="1:26" ht="15.5" x14ac:dyDescent="0.35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spans="1:26" ht="15.5" x14ac:dyDescent="0.35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spans="1:26" ht="15.5" x14ac:dyDescent="0.35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spans="1:26" ht="15.5" x14ac:dyDescent="0.35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spans="1:26" ht="15.5" x14ac:dyDescent="0.35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spans="1:26" ht="15.5" x14ac:dyDescent="0.3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spans="1:26" ht="15.5" x14ac:dyDescent="0.35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spans="1:26" ht="15.5" x14ac:dyDescent="0.35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spans="1:26" ht="15.5" x14ac:dyDescent="0.35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spans="1:26" ht="15.5" x14ac:dyDescent="0.35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spans="1:26" ht="15.5" x14ac:dyDescent="0.35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spans="1:26" ht="15.5" x14ac:dyDescent="0.35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spans="1:26" ht="15.5" x14ac:dyDescent="0.35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spans="1:26" ht="15.5" x14ac:dyDescent="0.35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spans="1:26" ht="15.5" x14ac:dyDescent="0.35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spans="1:26" ht="15.5" x14ac:dyDescent="0.3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spans="1:26" ht="15.5" x14ac:dyDescent="0.35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spans="1:26" ht="15.5" x14ac:dyDescent="0.35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spans="1:26" ht="15.5" x14ac:dyDescent="0.35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spans="1:26" ht="15.5" x14ac:dyDescent="0.35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spans="1:26" ht="15.5" x14ac:dyDescent="0.35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spans="1:26" ht="15.5" x14ac:dyDescent="0.35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spans="1:26" ht="15.5" x14ac:dyDescent="0.35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spans="1:26" ht="15.5" x14ac:dyDescent="0.35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spans="1:26" ht="15.5" x14ac:dyDescent="0.35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spans="1:26" ht="15.5" x14ac:dyDescent="0.3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spans="1:26" ht="15.5" x14ac:dyDescent="0.35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spans="1:26" ht="15.5" x14ac:dyDescent="0.35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spans="1:26" ht="15.5" x14ac:dyDescent="0.35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spans="1:26" ht="15.5" x14ac:dyDescent="0.35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spans="1:26" ht="15.5" x14ac:dyDescent="0.35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spans="1:26" ht="15.5" x14ac:dyDescent="0.35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spans="1:26" ht="15.5" x14ac:dyDescent="0.35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spans="1:26" ht="15.5" x14ac:dyDescent="0.35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spans="1:26" ht="15.5" x14ac:dyDescent="0.35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spans="1:26" ht="15.5" x14ac:dyDescent="0.3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spans="1:26" ht="15.5" x14ac:dyDescent="0.35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spans="1:26" ht="15.5" x14ac:dyDescent="0.35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spans="1:26" ht="15.5" x14ac:dyDescent="0.35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spans="1:26" ht="15.5" x14ac:dyDescent="0.35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spans="1:26" ht="15.5" x14ac:dyDescent="0.35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spans="1:26" ht="15.5" x14ac:dyDescent="0.35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spans="1:26" ht="15.5" x14ac:dyDescent="0.35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spans="1:26" ht="15.5" x14ac:dyDescent="0.35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spans="1:26" ht="15.5" x14ac:dyDescent="0.35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spans="1:26" ht="15.5" x14ac:dyDescent="0.3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spans="1:26" ht="15.5" x14ac:dyDescent="0.35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spans="1:26" ht="15.5" x14ac:dyDescent="0.35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spans="1:26" ht="15.5" x14ac:dyDescent="0.35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spans="1:26" ht="15.5" x14ac:dyDescent="0.35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spans="1:26" ht="15.5" x14ac:dyDescent="0.35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spans="1:26" ht="15.5" x14ac:dyDescent="0.35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spans="1:26" ht="15.5" x14ac:dyDescent="0.35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spans="1:26" ht="15.5" x14ac:dyDescent="0.35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spans="1:26" ht="15.5" x14ac:dyDescent="0.35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spans="1:26" ht="15.5" x14ac:dyDescent="0.3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spans="1:26" ht="15.5" x14ac:dyDescent="0.35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 spans="1:26" ht="15.5" x14ac:dyDescent="0.35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 spans="1:26" ht="15.5" x14ac:dyDescent="0.35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 spans="1:26" ht="15.5" x14ac:dyDescent="0.35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 spans="1:26" ht="15.5" x14ac:dyDescent="0.35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 spans="1:26" ht="15.5" x14ac:dyDescent="0.35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 spans="1:26" ht="15.5" x14ac:dyDescent="0.35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 spans="1:26" ht="15.5" x14ac:dyDescent="0.35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 spans="1:26" ht="15.5" x14ac:dyDescent="0.35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 spans="1:26" ht="15.5" x14ac:dyDescent="0.3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 spans="1:26" ht="15.5" x14ac:dyDescent="0.35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 spans="1:26" ht="15.5" x14ac:dyDescent="0.35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 spans="1:26" ht="15.5" x14ac:dyDescent="0.35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 spans="1:26" ht="15.5" x14ac:dyDescent="0.35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 spans="1:26" ht="15.5" x14ac:dyDescent="0.35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 spans="1:26" ht="15.5" x14ac:dyDescent="0.35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 spans="1:26" ht="15.5" x14ac:dyDescent="0.35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 spans="1:26" ht="15.5" x14ac:dyDescent="0.35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 spans="1:26" ht="15.5" x14ac:dyDescent="0.35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 spans="1:26" ht="15.5" x14ac:dyDescent="0.3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 spans="1:26" ht="15.5" x14ac:dyDescent="0.35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 spans="1:26" ht="15.5" x14ac:dyDescent="0.35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 spans="1:26" ht="15.5" x14ac:dyDescent="0.35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 spans="1:26" ht="15.5" x14ac:dyDescent="0.35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 spans="1:26" ht="15.5" x14ac:dyDescent="0.35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 spans="1:26" ht="15.5" x14ac:dyDescent="0.35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 spans="1:26" ht="15.5" x14ac:dyDescent="0.35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 spans="1:26" ht="15.5" x14ac:dyDescent="0.35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 spans="1:26" ht="15.5" x14ac:dyDescent="0.35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 spans="1:26" ht="15.5" x14ac:dyDescent="0.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 spans="1:26" ht="15.5" x14ac:dyDescent="0.35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 spans="1:26" ht="15.5" x14ac:dyDescent="0.35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 spans="1:26" ht="15.5" x14ac:dyDescent="0.35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 spans="1:26" ht="15.5" x14ac:dyDescent="0.35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 spans="1:26" ht="15.5" x14ac:dyDescent="0.35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 spans="1:26" ht="15.5" x14ac:dyDescent="0.35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 spans="1:26" ht="15.5" x14ac:dyDescent="0.35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 spans="1:26" ht="15.5" x14ac:dyDescent="0.35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 spans="1:26" ht="15.5" x14ac:dyDescent="0.35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 spans="1:26" ht="15.5" x14ac:dyDescent="0.3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 spans="1:26" ht="15.5" x14ac:dyDescent="0.35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 spans="1:26" ht="15.5" x14ac:dyDescent="0.35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 spans="1:26" ht="15.5" x14ac:dyDescent="0.35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 spans="1:26" ht="15.5" x14ac:dyDescent="0.35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 spans="1:26" ht="15.5" x14ac:dyDescent="0.35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 spans="1:26" ht="15.5" x14ac:dyDescent="0.35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 spans="1:26" ht="15.5" x14ac:dyDescent="0.35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 spans="1:26" ht="15.5" x14ac:dyDescent="0.35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 spans="1:26" ht="15.5" x14ac:dyDescent="0.35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 spans="1:26" ht="15.5" x14ac:dyDescent="0.3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 spans="1:26" ht="15.5" x14ac:dyDescent="0.35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 spans="1:26" ht="15.5" x14ac:dyDescent="0.35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 spans="1:26" ht="15.5" x14ac:dyDescent="0.35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 spans="1:26" ht="15.5" x14ac:dyDescent="0.35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 spans="1:26" ht="15.5" x14ac:dyDescent="0.35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 spans="1:26" ht="15.5" x14ac:dyDescent="0.35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 spans="1:26" ht="15.5" x14ac:dyDescent="0.35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 spans="1:26" ht="15.5" x14ac:dyDescent="0.35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 spans="1:26" ht="15.5" x14ac:dyDescent="0.35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 spans="1:26" ht="15.5" x14ac:dyDescent="0.3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 spans="1:26" ht="15.5" x14ac:dyDescent="0.35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 spans="1:26" ht="15.5" x14ac:dyDescent="0.35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 spans="1:26" ht="15.5" x14ac:dyDescent="0.35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 spans="1:26" ht="15.5" x14ac:dyDescent="0.35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 spans="1:26" ht="15.5" x14ac:dyDescent="0.35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 spans="1:26" ht="15.5" x14ac:dyDescent="0.35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 spans="1:26" ht="15.5" x14ac:dyDescent="0.35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 spans="1:26" ht="15.5" x14ac:dyDescent="0.35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 spans="1:26" ht="15.5" x14ac:dyDescent="0.35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 spans="1:26" ht="15.5" x14ac:dyDescent="0.3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 spans="1:26" ht="15.5" x14ac:dyDescent="0.35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 spans="1:26" ht="15.5" x14ac:dyDescent="0.35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 spans="1:26" ht="15.5" x14ac:dyDescent="0.35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 spans="1:26" ht="15.5" x14ac:dyDescent="0.35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 spans="1:26" ht="15.5" x14ac:dyDescent="0.35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 spans="1:26" ht="15.5" x14ac:dyDescent="0.35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 spans="1:26" ht="15.5" x14ac:dyDescent="0.35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 spans="1:26" ht="15.5" x14ac:dyDescent="0.35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 spans="1:26" ht="15.5" x14ac:dyDescent="0.35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 spans="1:26" ht="15.5" x14ac:dyDescent="0.3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 spans="1:26" ht="15.5" x14ac:dyDescent="0.35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 spans="1:26" ht="15.5" x14ac:dyDescent="0.35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 spans="1:26" ht="15.5" x14ac:dyDescent="0.35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 spans="1:26" ht="15.5" x14ac:dyDescent="0.35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 spans="1:26" ht="15.5" x14ac:dyDescent="0.35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 spans="1:26" ht="15.5" x14ac:dyDescent="0.35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 spans="1:26" ht="15.5" x14ac:dyDescent="0.35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 spans="1:26" ht="15.5" x14ac:dyDescent="0.35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 spans="1:26" ht="15.5" x14ac:dyDescent="0.35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 spans="1:26" ht="15.5" x14ac:dyDescent="0.3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 spans="1:26" ht="15.5" x14ac:dyDescent="0.35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 spans="1:26" ht="15.5" x14ac:dyDescent="0.35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 spans="1:26" ht="15.5" x14ac:dyDescent="0.35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 spans="1:26" ht="15.5" x14ac:dyDescent="0.35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 spans="1:26" ht="15.5" x14ac:dyDescent="0.35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 spans="1:26" ht="15.5" x14ac:dyDescent="0.35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 spans="1:26" ht="15.5" x14ac:dyDescent="0.35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 spans="1:26" ht="15.5" x14ac:dyDescent="0.35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 spans="1:26" ht="15.5" x14ac:dyDescent="0.35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 spans="1:26" ht="15.5" x14ac:dyDescent="0.3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 spans="1:26" ht="15.5" x14ac:dyDescent="0.35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 spans="1:26" ht="15.5" x14ac:dyDescent="0.35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 spans="1:26" ht="15.5" x14ac:dyDescent="0.35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 spans="1:26" ht="15.5" x14ac:dyDescent="0.35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 spans="1:26" ht="15.5" x14ac:dyDescent="0.35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 spans="1:26" ht="15.5" x14ac:dyDescent="0.35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 spans="1:26" ht="15.5" x14ac:dyDescent="0.35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 spans="1:26" ht="15.5" x14ac:dyDescent="0.35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 spans="1:26" ht="15.5" x14ac:dyDescent="0.35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 spans="1:26" ht="15.5" x14ac:dyDescent="0.3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 spans="1:26" ht="15.5" x14ac:dyDescent="0.35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 spans="1:26" ht="15.5" x14ac:dyDescent="0.35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 spans="1:26" ht="15.5" x14ac:dyDescent="0.35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 spans="1:26" ht="15.5" x14ac:dyDescent="0.35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 spans="1:26" ht="15.5" x14ac:dyDescent="0.35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 spans="1:26" ht="15.5" x14ac:dyDescent="0.35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 spans="1:26" ht="15.5" x14ac:dyDescent="0.35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 spans="1:26" ht="15.5" x14ac:dyDescent="0.35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 spans="1:26" ht="15.5" x14ac:dyDescent="0.35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 spans="1:26" ht="15.5" x14ac:dyDescent="0.3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 spans="1:26" ht="15.5" x14ac:dyDescent="0.35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 spans="1:26" ht="15.5" x14ac:dyDescent="0.35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 spans="1:26" ht="15.5" x14ac:dyDescent="0.35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 spans="1:26" ht="15.5" x14ac:dyDescent="0.35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 spans="1:26" ht="15.5" x14ac:dyDescent="0.35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 spans="1:26" ht="15.5" x14ac:dyDescent="0.35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 spans="1:26" ht="15.5" x14ac:dyDescent="0.35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 spans="1:26" ht="15.5" x14ac:dyDescent="0.35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 spans="1:26" ht="15.5" x14ac:dyDescent="0.35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 spans="1:26" ht="15.5" x14ac:dyDescent="0.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 spans="1:26" ht="15.5" x14ac:dyDescent="0.35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 spans="1:26" ht="15.5" x14ac:dyDescent="0.35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 spans="1:26" ht="15.5" x14ac:dyDescent="0.35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 spans="1:26" ht="15.5" x14ac:dyDescent="0.35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 spans="1:26" ht="15.5" x14ac:dyDescent="0.35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 spans="1:26" ht="15.5" x14ac:dyDescent="0.35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 spans="1:26" ht="15.5" x14ac:dyDescent="0.35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 spans="1:26" ht="15.5" x14ac:dyDescent="0.35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 spans="1:26" ht="15.5" x14ac:dyDescent="0.35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 spans="1:26" ht="15.5" x14ac:dyDescent="0.3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 spans="1:26" ht="15.5" x14ac:dyDescent="0.35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 spans="1:26" ht="15.5" x14ac:dyDescent="0.35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 spans="1:26" ht="15.5" x14ac:dyDescent="0.35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 spans="1:26" ht="15.5" x14ac:dyDescent="0.35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 spans="1:26" ht="15.5" x14ac:dyDescent="0.35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 spans="1:26" ht="15.5" x14ac:dyDescent="0.35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 spans="1:26" ht="15.5" x14ac:dyDescent="0.35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 spans="1:26" ht="15.5" x14ac:dyDescent="0.35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 spans="1:26" ht="15.5" x14ac:dyDescent="0.35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 spans="1:26" ht="15.5" x14ac:dyDescent="0.3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 spans="1:26" ht="15.5" x14ac:dyDescent="0.35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 spans="1:26" ht="15.5" x14ac:dyDescent="0.35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 spans="1:26" ht="15.5" x14ac:dyDescent="0.35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 spans="1:26" ht="15.5" x14ac:dyDescent="0.35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 spans="1:26" ht="15.5" x14ac:dyDescent="0.35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 spans="1:26" ht="15.5" x14ac:dyDescent="0.35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 spans="1:26" ht="15.5" x14ac:dyDescent="0.35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 spans="1:26" ht="15.5" x14ac:dyDescent="0.35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 spans="1:26" ht="15.5" x14ac:dyDescent="0.35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 spans="1:26" ht="15.5" x14ac:dyDescent="0.3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 spans="1:26" ht="15.5" x14ac:dyDescent="0.35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 spans="1:26" ht="15.5" x14ac:dyDescent="0.35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 spans="1:26" ht="15.5" x14ac:dyDescent="0.35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 spans="1:26" ht="15.5" x14ac:dyDescent="0.35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 spans="1:26" ht="15.5" x14ac:dyDescent="0.35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 spans="1:26" ht="15.5" x14ac:dyDescent="0.35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 spans="1:26" ht="15.5" x14ac:dyDescent="0.35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 spans="1:26" ht="15.5" x14ac:dyDescent="0.35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 spans="1:26" ht="15.5" x14ac:dyDescent="0.35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 spans="1:26" ht="15.5" x14ac:dyDescent="0.3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 spans="1:26" ht="15.5" x14ac:dyDescent="0.35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 spans="1:26" ht="15.5" x14ac:dyDescent="0.35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 spans="1:26" ht="15.5" x14ac:dyDescent="0.35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 spans="1:26" ht="15.5" x14ac:dyDescent="0.35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 spans="1:26" ht="15.5" x14ac:dyDescent="0.35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 spans="1:26" ht="15.5" x14ac:dyDescent="0.35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 spans="1:26" ht="15.5" x14ac:dyDescent="0.35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 spans="1:26" ht="15.5" x14ac:dyDescent="0.35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 spans="1:26" ht="15.5" x14ac:dyDescent="0.35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 spans="1:26" ht="15.5" x14ac:dyDescent="0.3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 spans="1:26" ht="15.5" x14ac:dyDescent="0.35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 spans="1:26" ht="15.5" x14ac:dyDescent="0.35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 spans="1:26" ht="15.5" x14ac:dyDescent="0.35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 spans="1:26" ht="15.5" x14ac:dyDescent="0.35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 spans="1:26" ht="15.5" x14ac:dyDescent="0.35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 spans="1:26" ht="15.5" x14ac:dyDescent="0.35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 spans="1:26" ht="15.5" x14ac:dyDescent="0.35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 spans="1:26" ht="15.5" x14ac:dyDescent="0.35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 spans="1:26" ht="15.5" x14ac:dyDescent="0.35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 spans="1:26" ht="15.5" x14ac:dyDescent="0.3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 spans="1:26" ht="15.5" x14ac:dyDescent="0.35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 spans="1:26" ht="15.5" x14ac:dyDescent="0.35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 spans="1:26" ht="15.5" x14ac:dyDescent="0.35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 spans="1:26" ht="15.5" x14ac:dyDescent="0.35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 spans="1:26" ht="15.5" x14ac:dyDescent="0.35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 spans="1:26" ht="15.5" x14ac:dyDescent="0.35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 spans="1:26" ht="15.5" x14ac:dyDescent="0.35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 spans="1:26" ht="15.5" x14ac:dyDescent="0.35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 spans="1:26" ht="15.5" x14ac:dyDescent="0.35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 spans="1:26" ht="15.5" x14ac:dyDescent="0.3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 spans="1:26" ht="15.5" x14ac:dyDescent="0.35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 spans="1:26" ht="15.5" x14ac:dyDescent="0.35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 spans="1:26" ht="15.5" x14ac:dyDescent="0.35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 spans="1:26" ht="15.5" x14ac:dyDescent="0.35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 spans="1:26" ht="15.5" x14ac:dyDescent="0.35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 spans="1:26" ht="15.5" x14ac:dyDescent="0.35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 spans="1:26" ht="15.5" x14ac:dyDescent="0.35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 spans="1:26" ht="15.5" x14ac:dyDescent="0.35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 spans="1:26" ht="15.5" x14ac:dyDescent="0.35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 spans="1:26" ht="15.5" x14ac:dyDescent="0.3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 spans="1:26" ht="15.5" x14ac:dyDescent="0.35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 spans="1:26" ht="15.5" x14ac:dyDescent="0.35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 spans="1:26" ht="15.5" x14ac:dyDescent="0.35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 spans="1:26" ht="15.5" x14ac:dyDescent="0.35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 spans="1:26" ht="15.5" x14ac:dyDescent="0.35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 spans="1:26" ht="15.5" x14ac:dyDescent="0.35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 spans="1:26" ht="15.5" x14ac:dyDescent="0.35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 spans="1:26" ht="15.5" x14ac:dyDescent="0.35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 spans="1:26" ht="15.5" x14ac:dyDescent="0.35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 spans="1:26" ht="15.5" x14ac:dyDescent="0.3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 spans="1:26" ht="15.5" x14ac:dyDescent="0.35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 spans="1:26" ht="15.5" x14ac:dyDescent="0.35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 spans="1:26" ht="15.5" x14ac:dyDescent="0.35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 spans="1:26" ht="15.5" x14ac:dyDescent="0.35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 spans="1:26" ht="15.5" x14ac:dyDescent="0.35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 spans="1:26" ht="15.5" x14ac:dyDescent="0.35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 spans="1:26" ht="15.5" x14ac:dyDescent="0.35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 spans="1:26" ht="15.5" x14ac:dyDescent="0.35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 spans="1:26" ht="15.5" x14ac:dyDescent="0.35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 spans="1:26" ht="15.5" x14ac:dyDescent="0.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 spans="1:26" ht="15.5" x14ac:dyDescent="0.35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 spans="1:26" ht="15.5" x14ac:dyDescent="0.35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 spans="1:26" ht="15.5" x14ac:dyDescent="0.35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 spans="1:26" ht="15.5" x14ac:dyDescent="0.35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 spans="1:26" ht="15.5" x14ac:dyDescent="0.35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 spans="1:26" ht="15.5" x14ac:dyDescent="0.35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 spans="1:26" ht="15.5" x14ac:dyDescent="0.35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 spans="1:26" ht="15.5" x14ac:dyDescent="0.35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 spans="1:26" ht="15.5" x14ac:dyDescent="0.35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 spans="1:26" ht="15.5" x14ac:dyDescent="0.3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 spans="1:26" ht="15.5" x14ac:dyDescent="0.35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 spans="1:26" ht="15.5" x14ac:dyDescent="0.35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 spans="1:26" ht="15.5" x14ac:dyDescent="0.35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 spans="1:26" ht="15.5" x14ac:dyDescent="0.35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 spans="1:26" ht="15.5" x14ac:dyDescent="0.35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 spans="1:26" ht="15.5" x14ac:dyDescent="0.35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 spans="1:26" ht="15.5" x14ac:dyDescent="0.35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 spans="1:26" ht="15.5" x14ac:dyDescent="0.35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 spans="1:26" ht="15.5" x14ac:dyDescent="0.35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 spans="1:26" ht="15.5" x14ac:dyDescent="0.3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 spans="1:26" ht="15.5" x14ac:dyDescent="0.35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 spans="1:26" ht="15.5" x14ac:dyDescent="0.35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 spans="1:26" ht="15.5" x14ac:dyDescent="0.35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 spans="1:26" ht="15.5" x14ac:dyDescent="0.35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 spans="1:26" ht="15.5" x14ac:dyDescent="0.35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 spans="1:26" ht="15.5" x14ac:dyDescent="0.35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 spans="1:26" ht="15.5" x14ac:dyDescent="0.35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 spans="1:26" ht="15.5" x14ac:dyDescent="0.35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 spans="1:26" ht="15.5" x14ac:dyDescent="0.35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 spans="1:26" ht="15.5" x14ac:dyDescent="0.3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 spans="1:26" ht="15.5" x14ac:dyDescent="0.35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 spans="1:26" ht="15.5" x14ac:dyDescent="0.35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 spans="1:26" ht="15.5" x14ac:dyDescent="0.35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 spans="1:26" ht="15.5" x14ac:dyDescent="0.35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 spans="1:26" ht="15.5" x14ac:dyDescent="0.35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 spans="1:26" ht="15.5" x14ac:dyDescent="0.35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 spans="1:26" ht="15.5" x14ac:dyDescent="0.35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 spans="1:26" ht="15.5" x14ac:dyDescent="0.35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 spans="1:26" ht="15.5" x14ac:dyDescent="0.35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 spans="1:26" ht="15.5" x14ac:dyDescent="0.3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 spans="1:26" ht="15.5" x14ac:dyDescent="0.35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 spans="1:26" ht="15.5" x14ac:dyDescent="0.35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 spans="1:26" ht="15.5" x14ac:dyDescent="0.35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 spans="1:26" ht="15.5" x14ac:dyDescent="0.35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 spans="1:26" ht="15.5" x14ac:dyDescent="0.35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 spans="1:26" ht="15.5" x14ac:dyDescent="0.35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 spans="1:26" ht="15.5" x14ac:dyDescent="0.35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 spans="1:26" ht="15.5" x14ac:dyDescent="0.35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 spans="1:26" ht="15.5" x14ac:dyDescent="0.35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 spans="1:26" ht="15.5" x14ac:dyDescent="0.3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 spans="1:26" ht="15.5" x14ac:dyDescent="0.35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 spans="1:26" ht="15.5" x14ac:dyDescent="0.35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 spans="1:26" ht="15.5" x14ac:dyDescent="0.35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 spans="1:26" ht="15.5" x14ac:dyDescent="0.35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 spans="1:26" ht="15.5" x14ac:dyDescent="0.35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 spans="1:26" ht="15.5" x14ac:dyDescent="0.35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 spans="1:26" ht="15.5" x14ac:dyDescent="0.35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 spans="1:26" ht="15.5" x14ac:dyDescent="0.35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 spans="1:26" ht="15.5" x14ac:dyDescent="0.35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 spans="1:26" ht="15.5" x14ac:dyDescent="0.3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 spans="1:26" ht="15.5" x14ac:dyDescent="0.35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 spans="1:26" ht="15.5" x14ac:dyDescent="0.35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 spans="1:26" ht="15.5" x14ac:dyDescent="0.35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 spans="1:26" ht="15.5" x14ac:dyDescent="0.35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 spans="1:26" ht="15.5" x14ac:dyDescent="0.35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 spans="1:26" ht="15.5" x14ac:dyDescent="0.35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 spans="1:26" ht="15.5" x14ac:dyDescent="0.35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 spans="1:26" ht="15.5" x14ac:dyDescent="0.35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 spans="1:26" ht="15.5" x14ac:dyDescent="0.35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 spans="1:26" ht="15.5" x14ac:dyDescent="0.3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 spans="1:26" ht="15.5" x14ac:dyDescent="0.35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 spans="1:26" ht="15.5" x14ac:dyDescent="0.35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 spans="1:26" ht="15.5" x14ac:dyDescent="0.35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 spans="1:26" ht="15.5" x14ac:dyDescent="0.35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 spans="1:26" ht="15.5" x14ac:dyDescent="0.35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 spans="1:26" ht="15.5" x14ac:dyDescent="0.35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 spans="1:26" ht="15.5" x14ac:dyDescent="0.35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 spans="1:26" ht="15.5" x14ac:dyDescent="0.35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 spans="1:26" ht="15.5" x14ac:dyDescent="0.35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 spans="1:26" ht="15.5" x14ac:dyDescent="0.3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 spans="1:26" ht="15.5" x14ac:dyDescent="0.35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 spans="1:26" ht="15.5" x14ac:dyDescent="0.35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 spans="1:26" ht="15.5" x14ac:dyDescent="0.35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 spans="1:26" ht="15.5" x14ac:dyDescent="0.35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 spans="1:26" ht="15.5" x14ac:dyDescent="0.35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 spans="1:26" ht="15.5" x14ac:dyDescent="0.35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 spans="1:26" ht="15.5" x14ac:dyDescent="0.35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 spans="1:26" ht="15.5" x14ac:dyDescent="0.35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 spans="1:26" ht="15.5" x14ac:dyDescent="0.35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 spans="1:26" ht="15.5" x14ac:dyDescent="0.3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 spans="1:26" ht="15.5" x14ac:dyDescent="0.35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 spans="1:26" ht="15.5" x14ac:dyDescent="0.35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 spans="1:26" ht="15.5" x14ac:dyDescent="0.35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 spans="1:26" ht="15.5" x14ac:dyDescent="0.35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 spans="1:26" ht="15.5" x14ac:dyDescent="0.35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 spans="1:26" ht="15.5" x14ac:dyDescent="0.35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 spans="1:26" ht="15.5" x14ac:dyDescent="0.35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 spans="1:26" ht="15.5" x14ac:dyDescent="0.35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 spans="1:26" ht="15.5" x14ac:dyDescent="0.35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 spans="1:26" ht="15.5" x14ac:dyDescent="0.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 spans="1:26" ht="15.5" x14ac:dyDescent="0.35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 spans="1:26" ht="15.5" x14ac:dyDescent="0.35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 spans="1:26" ht="15.5" x14ac:dyDescent="0.35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 spans="1:26" ht="15.5" x14ac:dyDescent="0.35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 spans="1:26" ht="15.5" x14ac:dyDescent="0.35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 spans="1:26" ht="15.5" x14ac:dyDescent="0.35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 spans="1:26" ht="15.5" x14ac:dyDescent="0.35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 spans="1:26" ht="15.5" x14ac:dyDescent="0.35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 spans="1:26" ht="15.5" x14ac:dyDescent="0.35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 spans="1:26" ht="15.5" x14ac:dyDescent="0.3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 spans="1:26" ht="15.5" x14ac:dyDescent="0.35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 spans="1:26" ht="15.5" x14ac:dyDescent="0.35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 spans="1:26" ht="15.5" x14ac:dyDescent="0.35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 spans="1:26" ht="15.5" x14ac:dyDescent="0.35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 spans="1:26" ht="15.5" x14ac:dyDescent="0.35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 spans="1:26" ht="15.5" x14ac:dyDescent="0.35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 spans="1:26" ht="15.5" x14ac:dyDescent="0.35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 spans="1:26" ht="15.5" x14ac:dyDescent="0.35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 spans="1:26" ht="15.5" x14ac:dyDescent="0.35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 spans="1:26" ht="15.5" x14ac:dyDescent="0.3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 spans="1:26" ht="15.5" x14ac:dyDescent="0.35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 spans="1:26" ht="15.5" x14ac:dyDescent="0.35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 spans="1:26" ht="15.5" x14ac:dyDescent="0.35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 spans="1:26" ht="15.5" x14ac:dyDescent="0.35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 spans="1:26" ht="15.5" x14ac:dyDescent="0.35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 spans="1:26" ht="15.5" x14ac:dyDescent="0.35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 spans="1:26" ht="15.5" x14ac:dyDescent="0.35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 spans="1:26" ht="15.5" x14ac:dyDescent="0.35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 spans="1:26" ht="15.5" x14ac:dyDescent="0.35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 spans="1:26" ht="15.5" x14ac:dyDescent="0.3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 spans="1:26" ht="15.5" x14ac:dyDescent="0.35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 spans="1:26" ht="15.5" x14ac:dyDescent="0.35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 spans="1:26" ht="15.5" x14ac:dyDescent="0.35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 spans="1:26" ht="15.5" x14ac:dyDescent="0.35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 spans="1:26" ht="15.5" x14ac:dyDescent="0.35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 spans="1:26" ht="15.5" x14ac:dyDescent="0.35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 spans="1:26" ht="15.5" x14ac:dyDescent="0.35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 spans="1:26" ht="15.5" x14ac:dyDescent="0.35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 spans="1:26" ht="15.5" x14ac:dyDescent="0.35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 spans="1:26" ht="15.5" x14ac:dyDescent="0.3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 spans="1:26" ht="15.5" x14ac:dyDescent="0.35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 spans="1:26" ht="15.5" x14ac:dyDescent="0.35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 spans="1:26" ht="15.5" x14ac:dyDescent="0.35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 spans="1:26" ht="15.5" x14ac:dyDescent="0.35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 spans="1:26" ht="15.5" x14ac:dyDescent="0.35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 spans="1:26" ht="15.5" x14ac:dyDescent="0.35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 spans="1:26" ht="15.5" x14ac:dyDescent="0.35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 spans="1:26" ht="15.5" x14ac:dyDescent="0.35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 spans="1:26" ht="15.5" x14ac:dyDescent="0.35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 spans="1:26" ht="15.5" x14ac:dyDescent="0.3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 spans="1:26" ht="15.5" x14ac:dyDescent="0.35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 spans="1:26" ht="15.5" x14ac:dyDescent="0.35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 spans="1:26" ht="15.5" x14ac:dyDescent="0.35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 spans="1:26" ht="15.5" x14ac:dyDescent="0.35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 spans="1:26" ht="15.5" x14ac:dyDescent="0.35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 spans="1:26" ht="15.5" x14ac:dyDescent="0.35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 spans="1:26" ht="15.5" x14ac:dyDescent="0.35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 spans="1:26" ht="15.5" x14ac:dyDescent="0.35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 spans="1:26" ht="15.5" x14ac:dyDescent="0.35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 spans="1:26" ht="15.5" x14ac:dyDescent="0.3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 spans="1:26" ht="15.5" x14ac:dyDescent="0.35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 spans="1:26" ht="15.5" x14ac:dyDescent="0.35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 spans="1:26" ht="15.5" x14ac:dyDescent="0.35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 spans="1:26" ht="15.5" x14ac:dyDescent="0.35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 spans="1:26" ht="15.5" x14ac:dyDescent="0.35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 spans="1:26" ht="15.5" x14ac:dyDescent="0.35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 spans="1:26" ht="15.5" x14ac:dyDescent="0.35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 spans="1:26" ht="15.5" x14ac:dyDescent="0.35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 spans="1:26" ht="15.5" x14ac:dyDescent="0.35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 spans="1:26" ht="15.5" x14ac:dyDescent="0.3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 spans="1:26" ht="15.5" x14ac:dyDescent="0.35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 spans="1:26" ht="15.5" x14ac:dyDescent="0.35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 spans="1:26" ht="15.5" x14ac:dyDescent="0.35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 spans="1:26" ht="15.5" x14ac:dyDescent="0.35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 spans="1:26" ht="15.5" x14ac:dyDescent="0.35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 spans="1:26" ht="15.5" x14ac:dyDescent="0.35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 spans="1:26" ht="15.5" x14ac:dyDescent="0.35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 spans="1:26" ht="15.5" x14ac:dyDescent="0.35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 spans="1:26" ht="15.5" x14ac:dyDescent="0.35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 spans="1:26" ht="15.5" x14ac:dyDescent="0.3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 spans="1:26" ht="15.5" x14ac:dyDescent="0.35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 spans="1:26" ht="15.5" x14ac:dyDescent="0.35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 spans="1:26" ht="15.5" x14ac:dyDescent="0.35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 spans="1:26" ht="15.5" x14ac:dyDescent="0.35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 spans="1:26" ht="15.5" x14ac:dyDescent="0.35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 spans="1:26" ht="15.5" x14ac:dyDescent="0.35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 spans="1:26" ht="15.5" x14ac:dyDescent="0.35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 spans="1:26" ht="15.5" x14ac:dyDescent="0.35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 spans="1:26" ht="15.5" x14ac:dyDescent="0.35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 spans="1:26" ht="15.5" x14ac:dyDescent="0.3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 spans="1:26" ht="15.5" x14ac:dyDescent="0.35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 spans="1:26" ht="15.5" x14ac:dyDescent="0.35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 spans="1:26" ht="15.5" x14ac:dyDescent="0.35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 spans="1:26" ht="15.5" x14ac:dyDescent="0.35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 spans="1:26" ht="15.5" x14ac:dyDescent="0.35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spans="1:26" ht="15.5" x14ac:dyDescent="0.35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 spans="1:26" ht="15.5" x14ac:dyDescent="0.35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 spans="1:26" ht="15.5" x14ac:dyDescent="0.35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 spans="1:26" ht="15.5" x14ac:dyDescent="0.35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 spans="1:26" ht="15.5" x14ac:dyDescent="0.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 spans="1:26" ht="15.5" x14ac:dyDescent="0.35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 spans="1:26" ht="15.5" x14ac:dyDescent="0.35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 spans="1:26" ht="15.5" x14ac:dyDescent="0.35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 spans="1:26" ht="15.5" x14ac:dyDescent="0.35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 spans="1:26" ht="15.5" x14ac:dyDescent="0.35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 spans="1:26" ht="15.5" x14ac:dyDescent="0.35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 spans="1:26" ht="15.5" x14ac:dyDescent="0.35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 spans="1:26" ht="15.5" x14ac:dyDescent="0.35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 spans="1:26" ht="15.5" x14ac:dyDescent="0.35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 spans="1:26" ht="15.5" x14ac:dyDescent="0.3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 spans="1:26" ht="15.5" x14ac:dyDescent="0.35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 spans="1:26" ht="15.5" x14ac:dyDescent="0.35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 spans="1:26" ht="15.5" x14ac:dyDescent="0.35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 spans="1:26" ht="15.5" x14ac:dyDescent="0.35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 spans="1:26" ht="15.5" x14ac:dyDescent="0.35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 spans="1:26" ht="15.5" x14ac:dyDescent="0.35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 spans="1:26" ht="15.5" x14ac:dyDescent="0.35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 spans="1:26" ht="15.5" x14ac:dyDescent="0.35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 spans="1:26" ht="15.5" x14ac:dyDescent="0.35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 spans="1:26" ht="15.5" x14ac:dyDescent="0.3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 spans="1:26" ht="15.5" x14ac:dyDescent="0.35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 spans="1:26" ht="15.5" x14ac:dyDescent="0.35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 spans="1:26" ht="15.5" x14ac:dyDescent="0.35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 spans="1:26" ht="15.5" x14ac:dyDescent="0.35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 spans="1:26" ht="15.5" x14ac:dyDescent="0.35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 spans="1:26" ht="15.5" x14ac:dyDescent="0.35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 spans="1:26" ht="15.5" x14ac:dyDescent="0.35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 spans="1:26" ht="15.5" x14ac:dyDescent="0.35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 spans="1:26" ht="15.5" x14ac:dyDescent="0.35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 spans="1:26" ht="15.5" x14ac:dyDescent="0.3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 spans="1:26" ht="15.5" x14ac:dyDescent="0.35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 spans="1:26" ht="15.5" x14ac:dyDescent="0.35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 spans="1:26" ht="15.5" x14ac:dyDescent="0.35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 spans="1:26" ht="15.5" x14ac:dyDescent="0.35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 spans="1:26" ht="15.5" x14ac:dyDescent="0.35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 spans="1:26" ht="15.5" x14ac:dyDescent="0.35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</row>
    <row r="972" spans="1:26" ht="15.5" x14ac:dyDescent="0.35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</row>
    <row r="973" spans="1:26" ht="15.5" x14ac:dyDescent="0.35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</row>
    <row r="974" spans="1:26" ht="15.5" x14ac:dyDescent="0.35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</row>
    <row r="975" spans="1:26" ht="15.5" x14ac:dyDescent="0.3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</row>
    <row r="976" spans="1:26" ht="15.5" x14ac:dyDescent="0.35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</row>
    <row r="977" spans="1:26" ht="15.5" x14ac:dyDescent="0.35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</row>
    <row r="978" spans="1:26" ht="15.5" x14ac:dyDescent="0.35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</row>
    <row r="979" spans="1:26" ht="15.5" x14ac:dyDescent="0.35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</row>
    <row r="980" spans="1:26" ht="15.5" x14ac:dyDescent="0.35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</row>
    <row r="981" spans="1:26" ht="15.5" x14ac:dyDescent="0.35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</row>
    <row r="982" spans="1:26" ht="15.5" x14ac:dyDescent="0.35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</row>
    <row r="983" spans="1:26" ht="15.5" x14ac:dyDescent="0.35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</row>
    <row r="984" spans="1:26" ht="15.5" x14ac:dyDescent="0.35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</row>
    <row r="985" spans="1:26" ht="15.5" x14ac:dyDescent="0.3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</row>
    <row r="986" spans="1:26" ht="15.5" x14ac:dyDescent="0.35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</row>
    <row r="987" spans="1:26" ht="15.5" x14ac:dyDescent="0.35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</row>
    <row r="988" spans="1:26" ht="15.5" x14ac:dyDescent="0.35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</row>
    <row r="989" spans="1:26" ht="15.5" x14ac:dyDescent="0.35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</row>
    <row r="990" spans="1:26" ht="15.5" x14ac:dyDescent="0.35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</row>
    <row r="991" spans="1:26" ht="15.5" x14ac:dyDescent="0.35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</row>
    <row r="992" spans="1:26" ht="15.5" x14ac:dyDescent="0.35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</row>
    <row r="993" spans="1:26" ht="15.5" x14ac:dyDescent="0.35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</row>
    <row r="994" spans="1:26" ht="15.5" x14ac:dyDescent="0.35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</row>
    <row r="995" spans="1:26" ht="15.5" x14ac:dyDescent="0.3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</row>
    <row r="996" spans="1:26" ht="15.5" x14ac:dyDescent="0.35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</row>
    <row r="997" spans="1:26" ht="15.5" x14ac:dyDescent="0.35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</row>
    <row r="998" spans="1:26" ht="15.5" x14ac:dyDescent="0.35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</row>
    <row r="999" spans="1:26" ht="15.5" x14ac:dyDescent="0.35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</row>
    <row r="1000" spans="1:26" ht="15.5" x14ac:dyDescent="0.35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</row>
  </sheetData>
  <mergeCells count="2">
    <mergeCell ref="D30:F30"/>
    <mergeCell ref="D31:F31"/>
  </mergeCells>
  <dataValidations count="2">
    <dataValidation type="list" allowBlank="1" showErrorMessage="1" sqref="G2" xr:uid="{43FD736A-C711-4E76-88D2-00F9E3021271}">
      <formula1>$A$57:$A$58</formula1>
    </dataValidation>
    <dataValidation type="list" allowBlank="1" showErrorMessage="1" sqref="C3" xr:uid="{F82CE0D0-F1BA-4956-805F-6D8E19838DF0}">
      <formula1>$A$24:$A$25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5635-BEC3-474A-8BC9-9912CD601995}">
  <dimension ref="C1:BA1000"/>
  <sheetViews>
    <sheetView showGridLines="0" zoomScale="45" workbookViewId="0">
      <selection activeCell="I10" sqref="I10"/>
    </sheetView>
  </sheetViews>
  <sheetFormatPr defaultColWidth="14.453125" defaultRowHeight="14.5" x14ac:dyDescent="0.35"/>
  <cols>
    <col min="1" max="2" width="3.54296875" customWidth="1"/>
    <col min="3" max="3" width="11.54296875" customWidth="1"/>
    <col min="4" max="4" width="19.6328125" customWidth="1"/>
    <col min="5" max="5" width="12.453125" customWidth="1"/>
    <col min="6" max="6" width="10.453125" customWidth="1"/>
    <col min="7" max="7" width="11" customWidth="1"/>
    <col min="8" max="10" width="8.6328125" customWidth="1"/>
    <col min="11" max="11" width="12.7265625" customWidth="1"/>
    <col min="12" max="14" width="8.6328125" customWidth="1"/>
    <col min="15" max="15" width="13.90625" customWidth="1"/>
    <col min="16" max="50" width="13.54296875" customWidth="1"/>
    <col min="51" max="51" width="10.6328125" customWidth="1"/>
    <col min="52" max="53" width="8.6328125" customWidth="1"/>
  </cols>
  <sheetData>
    <row r="1" spans="3:15" x14ac:dyDescent="0.35">
      <c r="C1" s="291" t="s">
        <v>289</v>
      </c>
      <c r="D1" s="291"/>
      <c r="E1" s="291"/>
    </row>
    <row r="2" spans="3:15" ht="14.25" customHeight="1" x14ac:dyDescent="0.35">
      <c r="C2" s="291"/>
      <c r="D2" s="291"/>
      <c r="E2" s="291"/>
    </row>
    <row r="3" spans="3:15" ht="14.25" customHeight="1" thickBot="1" x14ac:dyDescent="0.4">
      <c r="K3" t="s">
        <v>458</v>
      </c>
    </row>
    <row r="4" spans="3:15" ht="14.25" customHeight="1" thickBot="1" x14ac:dyDescent="0.4">
      <c r="D4" s="228" t="s">
        <v>290</v>
      </c>
      <c r="E4" s="229" t="s">
        <v>257</v>
      </c>
      <c r="F4" s="230" t="s">
        <v>291</v>
      </c>
      <c r="G4" s="231" t="s">
        <v>292</v>
      </c>
    </row>
    <row r="5" spans="3:15" ht="14.25" customHeight="1" x14ac:dyDescent="0.35">
      <c r="D5" s="232" t="s">
        <v>283</v>
      </c>
      <c r="E5" s="233">
        <f>SLOPE($E$21:$E$258,$BA$21:$BA$258)</f>
        <v>0.67732435456767037</v>
      </c>
      <c r="F5" s="234">
        <v>249</v>
      </c>
      <c r="G5" s="233">
        <f>RSQ($E$21:$E$258,$BA$21:$BA$258)</f>
        <v>0.45237750421525402</v>
      </c>
      <c r="K5" s="235"/>
    </row>
    <row r="6" spans="3:15" ht="14.25" customHeight="1" x14ac:dyDescent="0.35">
      <c r="D6" s="232" t="s">
        <v>279</v>
      </c>
      <c r="E6" s="233">
        <f>SLOPE($I$21:$I$258,$BA$21:$BA$258)</f>
        <v>0.81092835804709229</v>
      </c>
      <c r="F6" s="236">
        <v>261</v>
      </c>
      <c r="G6" s="233">
        <f>RSQ($I$21:$I$258,$BA$21:$BA$258)</f>
        <v>0.49260567495113744</v>
      </c>
      <c r="K6" t="s">
        <v>459</v>
      </c>
      <c r="L6" t="s">
        <v>460</v>
      </c>
    </row>
    <row r="7" spans="3:15" ht="14.25" customHeight="1" x14ac:dyDescent="0.35">
      <c r="D7" s="232" t="s">
        <v>284</v>
      </c>
      <c r="E7" s="233">
        <f>SLOPE($M$21:$M$258,$BA$21:$BA$258)</f>
        <v>0.51960989120137291</v>
      </c>
      <c r="F7" s="236">
        <v>47</v>
      </c>
      <c r="G7" s="233">
        <f>RSQ($M$21:$M$258,$BA$21:$BA$258)</f>
        <v>0.26749514696575527</v>
      </c>
      <c r="L7" t="s">
        <v>461</v>
      </c>
    </row>
    <row r="8" spans="3:15" ht="14.25" customHeight="1" x14ac:dyDescent="0.35">
      <c r="D8" s="237" t="s">
        <v>285</v>
      </c>
      <c r="E8" s="233">
        <f>SLOPE($Q$21:$Q$258,$BA$21:$BA$258)</f>
        <v>0.84032716132518215</v>
      </c>
      <c r="F8" s="236">
        <v>60.9</v>
      </c>
      <c r="G8" s="233">
        <f>RSQ($Q$21:$Q$258,$BA$21:$BA$258)</f>
        <v>0.41650869823415609</v>
      </c>
      <c r="L8" t="s">
        <v>462</v>
      </c>
    </row>
    <row r="9" spans="3:15" ht="14.25" customHeight="1" x14ac:dyDescent="0.35">
      <c r="D9" s="258" t="s">
        <v>293</v>
      </c>
      <c r="E9" s="259">
        <f>SLOPE($U$21:$U$258,$BA$21:$BA$258)</f>
        <v>0.19151187011857851</v>
      </c>
      <c r="F9" s="260">
        <v>21.664999999999999</v>
      </c>
      <c r="G9" s="259">
        <f>RSQ($U$21:$U$258,$BA$21:$BA$258)</f>
        <v>3.6866698616426732E-2</v>
      </c>
      <c r="L9" t="s">
        <v>463</v>
      </c>
    </row>
    <row r="10" spans="3:15" ht="14.25" customHeight="1" x14ac:dyDescent="0.35">
      <c r="D10" s="258" t="s">
        <v>294</v>
      </c>
      <c r="E10" s="259">
        <f>SLOPE($Y$21:$Y$258,$BA$21:$BA$258)</f>
        <v>0.38387876620849104</v>
      </c>
      <c r="F10" s="260">
        <v>21.126000000000001</v>
      </c>
      <c r="G10" s="259">
        <f>RSQ($Y$21:$Y$258,$BA$21:$BA$258)</f>
        <v>0.13573575909694727</v>
      </c>
      <c r="L10" t="s">
        <v>464</v>
      </c>
    </row>
    <row r="11" spans="3:15" ht="14.25" customHeight="1" x14ac:dyDescent="0.35">
      <c r="D11" s="258" t="s">
        <v>295</v>
      </c>
      <c r="E11" s="259">
        <f>SLOPE($AC$21:$AC$258,$BA$21:$BA$258)</f>
        <v>0.5739209703259156</v>
      </c>
      <c r="F11" s="260">
        <v>41.356999999999999</v>
      </c>
      <c r="G11" s="259">
        <f>RSQ($AC$21:$AC$258,$BA$21:$BA$258)</f>
        <v>0.15064375746806613</v>
      </c>
    </row>
    <row r="12" spans="3:15" ht="14.25" customHeight="1" x14ac:dyDescent="0.35">
      <c r="D12" s="237" t="s">
        <v>286</v>
      </c>
      <c r="E12" s="233">
        <f>SLOPE($AG$21:$AG$258,$BA$21:$BA$258)</f>
        <v>0.65705909830958575</v>
      </c>
      <c r="F12" s="236">
        <v>97.364999999999995</v>
      </c>
      <c r="G12" s="233">
        <f>RSQ($AG$21:$AG$258,$BA$21:$BA$258)</f>
        <v>0.41399993407980329</v>
      </c>
      <c r="J12" t="s">
        <v>465</v>
      </c>
    </row>
    <row r="13" spans="3:15" ht="14.25" customHeight="1" x14ac:dyDescent="0.35">
      <c r="D13" s="237" t="s">
        <v>287</v>
      </c>
      <c r="E13" s="233">
        <f>SLOPE($AK$21:$AK$258,$BA$21:$BA$258)</f>
        <v>0.5810406596377593</v>
      </c>
      <c r="F13" s="236">
        <v>44.433</v>
      </c>
      <c r="G13" s="233">
        <f>RSQ($AK$21:$AK$258,$BA$21:$BA$258)</f>
        <v>0.27795919141079628</v>
      </c>
      <c r="J13" t="s">
        <v>466</v>
      </c>
      <c r="O13" t="s">
        <v>474</v>
      </c>
    </row>
    <row r="14" spans="3:15" ht="14.25" customHeight="1" x14ac:dyDescent="0.35">
      <c r="D14" s="258" t="s">
        <v>296</v>
      </c>
      <c r="E14" s="259">
        <f>SLOPE($AO$21:$AO$258,$BA$21:$BA$258)</f>
        <v>0.231431915045754</v>
      </c>
      <c r="F14" s="260">
        <v>12.507999999999999</v>
      </c>
      <c r="G14" s="259">
        <f>RSQ($AO$21:$AO$258,$BA$21:$BA$258)</f>
        <v>3.6177525995332818E-2</v>
      </c>
      <c r="J14" t="s">
        <v>467</v>
      </c>
    </row>
    <row r="15" spans="3:15" ht="14.25" customHeight="1" x14ac:dyDescent="0.35">
      <c r="D15" s="237" t="s">
        <v>288</v>
      </c>
      <c r="E15" s="233">
        <f>SLOPE($AS$21:$AS$258,$BA$21:$BA$258)</f>
        <v>1.1962911720669331</v>
      </c>
      <c r="F15" s="236">
        <v>47.816000000000003</v>
      </c>
      <c r="G15" s="233">
        <f>RSQ($AS$21:$AS$258,$BA$21:$BA$258)</f>
        <v>0.52522879408891432</v>
      </c>
    </row>
    <row r="16" spans="3:15" ht="14.25" customHeight="1" thickBot="1" x14ac:dyDescent="0.4">
      <c r="D16" s="261" t="s">
        <v>297</v>
      </c>
      <c r="E16" s="259">
        <f>SLOPE($AW$21:$AW$258,$BA$21:$BA$258)</f>
        <v>0.20453618664363118</v>
      </c>
      <c r="F16" s="262">
        <v>39.683</v>
      </c>
      <c r="G16" s="259">
        <f>RSQ($AW$21:$AW$258,$BA$21:$BA$258)</f>
        <v>4.0573427573042123E-2</v>
      </c>
    </row>
    <row r="17" spans="3:53" ht="14.25" customHeight="1" x14ac:dyDescent="0.35">
      <c r="D17" s="238" t="s">
        <v>298</v>
      </c>
      <c r="E17" s="239"/>
    </row>
    <row r="18" spans="3:53" ht="14.25" customHeight="1" x14ac:dyDescent="0.35">
      <c r="D18" s="240" t="s">
        <v>299</v>
      </c>
    </row>
    <row r="19" spans="3:53" ht="14.25" customHeight="1" x14ac:dyDescent="0.45">
      <c r="C19" s="288" t="s">
        <v>283</v>
      </c>
      <c r="D19" s="289"/>
      <c r="E19" s="290"/>
      <c r="G19" s="288" t="s">
        <v>300</v>
      </c>
      <c r="H19" s="289"/>
      <c r="I19" s="290"/>
      <c r="K19" s="288" t="s">
        <v>284</v>
      </c>
      <c r="L19" s="289"/>
      <c r="M19" s="290"/>
      <c r="O19" s="288" t="s">
        <v>301</v>
      </c>
      <c r="P19" s="289"/>
      <c r="Q19" s="290"/>
      <c r="R19" s="241"/>
      <c r="S19" s="288" t="s">
        <v>302</v>
      </c>
      <c r="T19" s="289"/>
      <c r="U19" s="290"/>
      <c r="V19" s="241"/>
      <c r="W19" s="288" t="s">
        <v>303</v>
      </c>
      <c r="X19" s="289"/>
      <c r="Y19" s="290"/>
      <c r="Z19" s="241"/>
      <c r="AA19" s="288" t="s">
        <v>304</v>
      </c>
      <c r="AB19" s="289"/>
      <c r="AC19" s="290"/>
      <c r="AD19" s="241"/>
      <c r="AE19" s="288" t="s">
        <v>305</v>
      </c>
      <c r="AF19" s="289"/>
      <c r="AG19" s="290"/>
      <c r="AH19" s="241"/>
      <c r="AI19" s="288" t="s">
        <v>287</v>
      </c>
      <c r="AJ19" s="289"/>
      <c r="AK19" s="290"/>
      <c r="AL19" s="241"/>
      <c r="AM19" s="288" t="s">
        <v>306</v>
      </c>
      <c r="AN19" s="289"/>
      <c r="AO19" s="290"/>
      <c r="AP19" s="241"/>
      <c r="AQ19" s="288" t="s">
        <v>307</v>
      </c>
      <c r="AR19" s="289"/>
      <c r="AS19" s="290"/>
      <c r="AT19" s="241"/>
      <c r="AU19" s="288" t="s">
        <v>308</v>
      </c>
      <c r="AV19" s="289"/>
      <c r="AW19" s="290"/>
      <c r="AX19" s="241"/>
      <c r="AY19" s="288" t="s">
        <v>309</v>
      </c>
      <c r="AZ19" s="289"/>
      <c r="BA19" s="290"/>
    </row>
    <row r="20" spans="3:53" ht="14.25" customHeight="1" x14ac:dyDescent="0.35">
      <c r="C20" s="242" t="s">
        <v>310</v>
      </c>
      <c r="D20" s="243" t="s">
        <v>311</v>
      </c>
      <c r="E20" s="244" t="s">
        <v>312</v>
      </c>
      <c r="G20" s="245" t="s">
        <v>310</v>
      </c>
      <c r="H20" s="246" t="s">
        <v>311</v>
      </c>
      <c r="I20" s="247" t="s">
        <v>312</v>
      </c>
      <c r="K20" s="242" t="s">
        <v>310</v>
      </c>
      <c r="L20" s="243" t="s">
        <v>311</v>
      </c>
      <c r="M20" s="244" t="s">
        <v>312</v>
      </c>
      <c r="O20" s="242" t="s">
        <v>310</v>
      </c>
      <c r="P20" s="243" t="s">
        <v>311</v>
      </c>
      <c r="Q20" s="244" t="s">
        <v>312</v>
      </c>
      <c r="S20" s="242" t="s">
        <v>310</v>
      </c>
      <c r="T20" s="243" t="s">
        <v>311</v>
      </c>
      <c r="U20" s="244" t="s">
        <v>312</v>
      </c>
      <c r="W20" s="242" t="s">
        <v>310</v>
      </c>
      <c r="X20" s="243" t="s">
        <v>311</v>
      </c>
      <c r="Y20" s="244" t="s">
        <v>312</v>
      </c>
      <c r="AA20" s="242" t="s">
        <v>310</v>
      </c>
      <c r="AB20" s="243" t="s">
        <v>311</v>
      </c>
      <c r="AC20" s="244" t="s">
        <v>312</v>
      </c>
      <c r="AE20" s="242" t="s">
        <v>310</v>
      </c>
      <c r="AF20" s="243" t="s">
        <v>311</v>
      </c>
      <c r="AG20" s="244" t="s">
        <v>312</v>
      </c>
      <c r="AI20" s="242" t="s">
        <v>310</v>
      </c>
      <c r="AJ20" s="243" t="s">
        <v>311</v>
      </c>
      <c r="AK20" s="244" t="s">
        <v>312</v>
      </c>
      <c r="AM20" s="242" t="s">
        <v>310</v>
      </c>
      <c r="AN20" s="243" t="s">
        <v>311</v>
      </c>
      <c r="AO20" s="244" t="s">
        <v>312</v>
      </c>
      <c r="AQ20" s="242" t="s">
        <v>310</v>
      </c>
      <c r="AR20" s="243" t="s">
        <v>311</v>
      </c>
      <c r="AS20" s="244" t="s">
        <v>312</v>
      </c>
      <c r="AU20" s="242" t="s">
        <v>310</v>
      </c>
      <c r="AV20" s="243" t="s">
        <v>311</v>
      </c>
      <c r="AW20" s="244" t="s">
        <v>312</v>
      </c>
      <c r="AY20" s="242" t="s">
        <v>310</v>
      </c>
      <c r="AZ20" s="243" t="s">
        <v>311</v>
      </c>
      <c r="BA20" s="244" t="s">
        <v>312</v>
      </c>
    </row>
    <row r="21" spans="3:53" ht="14.25" customHeight="1" x14ac:dyDescent="0.35">
      <c r="C21" s="248" t="s">
        <v>313</v>
      </c>
      <c r="D21" s="249">
        <v>184.6</v>
      </c>
      <c r="E21" s="250">
        <f>D21/D22-1</f>
        <v>-3.000367820923755E-2</v>
      </c>
      <c r="G21" s="248" t="s">
        <v>313</v>
      </c>
      <c r="H21" s="136">
        <v>60.71</v>
      </c>
      <c r="I21" s="250">
        <f>H21/H22-1</f>
        <v>-2.8329065300896183E-2</v>
      </c>
      <c r="K21" s="248" t="s">
        <v>313</v>
      </c>
      <c r="L21" s="136">
        <v>33.6</v>
      </c>
      <c r="M21" s="250">
        <f>L21/L22-1</f>
        <v>-9.4339622641509413E-3</v>
      </c>
      <c r="O21" s="248" t="s">
        <v>313</v>
      </c>
      <c r="P21" s="136">
        <v>55.11</v>
      </c>
      <c r="Q21" s="250">
        <f>P21/P22-1</f>
        <v>-5.2278589853826274E-2</v>
      </c>
      <c r="R21" s="251"/>
      <c r="S21" s="248" t="s">
        <v>313</v>
      </c>
      <c r="T21" s="136">
        <v>40.54</v>
      </c>
      <c r="U21" s="250">
        <f>T21/T22-1</f>
        <v>-1.2183235867446407E-2</v>
      </c>
      <c r="V21" s="251"/>
      <c r="W21" s="248" t="s">
        <v>313</v>
      </c>
      <c r="X21" s="136">
        <v>64.8</v>
      </c>
      <c r="Y21" s="250">
        <f>X21/X22-1</f>
        <v>-4.1136430896715037E-2</v>
      </c>
      <c r="Z21" s="251"/>
      <c r="AA21" s="248" t="s">
        <v>313</v>
      </c>
      <c r="AB21" s="136">
        <v>35.28</v>
      </c>
      <c r="AC21" s="250">
        <f>AB21/AB22-1</f>
        <v>-2.4336283185840579E-2</v>
      </c>
      <c r="AD21" s="251"/>
      <c r="AE21" s="248" t="s">
        <v>313</v>
      </c>
      <c r="AF21" s="136">
        <v>73.92</v>
      </c>
      <c r="AG21" s="250">
        <f>AF21/AF22-1</f>
        <v>-1.4925373134328401E-2</v>
      </c>
      <c r="AH21" s="251"/>
      <c r="AI21" s="248" t="s">
        <v>313</v>
      </c>
      <c r="AJ21" s="136">
        <v>228.23</v>
      </c>
      <c r="AK21" s="250">
        <f>AJ21/AJ22-1</f>
        <v>-3.1446273977253414E-2</v>
      </c>
      <c r="AL21" s="251"/>
      <c r="AM21" s="248" t="s">
        <v>313</v>
      </c>
      <c r="AN21" s="136">
        <v>45.15</v>
      </c>
      <c r="AO21" s="250">
        <f>AN21/AN22-1</f>
        <v>-2.3783783783783763E-2</v>
      </c>
      <c r="AP21" s="251"/>
      <c r="AQ21" s="248" t="s">
        <v>313</v>
      </c>
      <c r="AR21" s="136">
        <v>268.02</v>
      </c>
      <c r="AS21" s="250">
        <f>AR21/AR22-1</f>
        <v>-1.6440366972477083E-2</v>
      </c>
      <c r="AT21" s="251"/>
      <c r="AU21" s="248" t="s">
        <v>313</v>
      </c>
      <c r="AV21" s="136">
        <v>73.59</v>
      </c>
      <c r="AW21" s="250">
        <f>AV21/AV22-1</f>
        <v>-2.4652087475149131E-2</v>
      </c>
      <c r="AX21" s="251"/>
      <c r="AY21" s="248" t="s">
        <v>313</v>
      </c>
      <c r="AZ21" s="252">
        <v>4478.03</v>
      </c>
      <c r="BA21" s="250">
        <f>AZ21/AZ22-1</f>
        <v>-2.2740019597444872E-2</v>
      </c>
    </row>
    <row r="22" spans="3:53" ht="14.25" customHeight="1" x14ac:dyDescent="0.35">
      <c r="C22" s="248" t="s">
        <v>314</v>
      </c>
      <c r="D22" s="249">
        <v>190.31</v>
      </c>
      <c r="E22" s="250">
        <f t="shared" ref="E22:E85" si="0">D22/D23-1</f>
        <v>7.8880942364323303E-4</v>
      </c>
      <c r="G22" s="248" t="s">
        <v>314</v>
      </c>
      <c r="H22" s="136">
        <v>62.48</v>
      </c>
      <c r="I22" s="250">
        <f t="shared" ref="I22:I85" si="1">H22/H23-1</f>
        <v>6.4061499039080871E-4</v>
      </c>
      <c r="K22" s="248" t="s">
        <v>314</v>
      </c>
      <c r="L22" s="136">
        <v>33.92</v>
      </c>
      <c r="M22" s="250">
        <f t="shared" ref="M22:M85" si="2">L22/L23-1</f>
        <v>4.1129527317372627E-2</v>
      </c>
      <c r="O22" s="248" t="s">
        <v>314</v>
      </c>
      <c r="P22" s="136">
        <v>58.15</v>
      </c>
      <c r="Q22" s="250">
        <f t="shared" ref="Q22:Q85" si="3">P22/P23-1</f>
        <v>8.6058519793463795E-4</v>
      </c>
      <c r="R22" s="251"/>
      <c r="S22" s="248" t="s">
        <v>314</v>
      </c>
      <c r="T22" s="136">
        <v>41.04</v>
      </c>
      <c r="U22" s="250">
        <f t="shared" ref="U22:U85" si="4">T22/T23-1</f>
        <v>2.2421524663677195E-2</v>
      </c>
      <c r="V22" s="251"/>
      <c r="W22" s="248" t="s">
        <v>314</v>
      </c>
      <c r="X22" s="136">
        <v>67.58</v>
      </c>
      <c r="Y22" s="250">
        <f t="shared" ref="Y22:Y85" si="5">X22/X23-1</f>
        <v>-2.9507229271171775E-3</v>
      </c>
      <c r="Z22" s="251"/>
      <c r="AA22" s="248" t="s">
        <v>314</v>
      </c>
      <c r="AB22" s="136">
        <v>36.159999999999997</v>
      </c>
      <c r="AC22" s="250">
        <f t="shared" ref="AC22:AC85" si="6">AB22/AB23-1</f>
        <v>-4.4052863436124801E-3</v>
      </c>
      <c r="AD22" s="251"/>
      <c r="AE22" s="248" t="s">
        <v>314</v>
      </c>
      <c r="AF22" s="136">
        <v>75.040000000000006</v>
      </c>
      <c r="AG22" s="250">
        <f t="shared" ref="AG22:AG85" si="7">AF22/AF23-1</f>
        <v>1.4328196809948679E-2</v>
      </c>
      <c r="AH22" s="251"/>
      <c r="AI22" s="248" t="s">
        <v>314</v>
      </c>
      <c r="AJ22" s="136">
        <v>235.64</v>
      </c>
      <c r="AK22" s="250">
        <f t="shared" ref="AK22:AK85" si="8">AJ22/AJ23-1</f>
        <v>-4.4599416153097593E-2</v>
      </c>
      <c r="AL22" s="251"/>
      <c r="AM22" s="248" t="s">
        <v>314</v>
      </c>
      <c r="AN22" s="136">
        <v>46.25</v>
      </c>
      <c r="AO22" s="250">
        <f t="shared" ref="AO22:AO85" si="9">AN22/AN23-1</f>
        <v>-1.7267429311460525E-3</v>
      </c>
      <c r="AP22" s="251"/>
      <c r="AQ22" s="248" t="s">
        <v>314</v>
      </c>
      <c r="AR22" s="136">
        <v>272.5</v>
      </c>
      <c r="AS22" s="250">
        <f t="shared" ref="AS22:AS85" si="10">AR22/AR23-1</f>
        <v>1.1131725417439675E-2</v>
      </c>
      <c r="AT22" s="251"/>
      <c r="AU22" s="248" t="s">
        <v>314</v>
      </c>
      <c r="AV22" s="136">
        <v>75.45</v>
      </c>
      <c r="AW22" s="250">
        <f t="shared" ref="AW22:AW85" si="11">AV22/AV23-1</f>
        <v>-2.0129870129870109E-2</v>
      </c>
      <c r="AX22" s="251"/>
      <c r="AY22" s="248" t="s">
        <v>314</v>
      </c>
      <c r="AZ22" s="252">
        <v>4582.2299999999996</v>
      </c>
      <c r="BA22" s="250">
        <f t="shared" ref="BA22:BA85" si="12">AZ22/AZ23-1</f>
        <v>1.0116084773187151E-2</v>
      </c>
    </row>
    <row r="23" spans="3:53" ht="14.25" customHeight="1" x14ac:dyDescent="0.35">
      <c r="C23" s="248" t="s">
        <v>315</v>
      </c>
      <c r="D23" s="249">
        <v>190.16</v>
      </c>
      <c r="E23" s="250">
        <f t="shared" si="0"/>
        <v>1.0360767228096313E-2</v>
      </c>
      <c r="G23" s="248" t="s">
        <v>315</v>
      </c>
      <c r="H23" s="136">
        <v>62.44</v>
      </c>
      <c r="I23" s="250">
        <f t="shared" si="1"/>
        <v>2.5287356321838983E-2</v>
      </c>
      <c r="K23" s="248" t="s">
        <v>315</v>
      </c>
      <c r="L23" s="136">
        <v>32.58</v>
      </c>
      <c r="M23" s="250">
        <f t="shared" si="2"/>
        <v>2.9058749210360002E-2</v>
      </c>
      <c r="O23" s="248" t="s">
        <v>315</v>
      </c>
      <c r="P23" s="136">
        <v>58.1</v>
      </c>
      <c r="Q23" s="250">
        <f t="shared" si="3"/>
        <v>1.3784679811551293E-2</v>
      </c>
      <c r="R23" s="251"/>
      <c r="S23" s="248" t="s">
        <v>315</v>
      </c>
      <c r="T23" s="136">
        <v>40.14</v>
      </c>
      <c r="U23" s="250">
        <f t="shared" si="4"/>
        <v>2.4919013207069796E-4</v>
      </c>
      <c r="V23" s="251"/>
      <c r="W23" s="248" t="s">
        <v>315</v>
      </c>
      <c r="X23" s="136">
        <v>67.78</v>
      </c>
      <c r="Y23" s="250">
        <f t="shared" si="5"/>
        <v>3.2563647128478479E-3</v>
      </c>
      <c r="Z23" s="251"/>
      <c r="AA23" s="248" t="s">
        <v>315</v>
      </c>
      <c r="AB23" s="136">
        <v>36.32</v>
      </c>
      <c r="AC23" s="250">
        <f t="shared" si="6"/>
        <v>1.3110181311018154E-2</v>
      </c>
      <c r="AD23" s="251"/>
      <c r="AE23" s="248" t="s">
        <v>315</v>
      </c>
      <c r="AF23" s="136">
        <v>73.98</v>
      </c>
      <c r="AG23" s="250">
        <f t="shared" si="7"/>
        <v>2.3519645821804103E-2</v>
      </c>
      <c r="AH23" s="251"/>
      <c r="AI23" s="248" t="s">
        <v>315</v>
      </c>
      <c r="AJ23" s="136">
        <v>246.64</v>
      </c>
      <c r="AK23" s="250">
        <f t="shared" si="8"/>
        <v>3.2528153388872605E-2</v>
      </c>
      <c r="AL23" s="251"/>
      <c r="AM23" s="248" t="s">
        <v>315</v>
      </c>
      <c r="AN23" s="136">
        <v>46.33</v>
      </c>
      <c r="AO23" s="250">
        <f t="shared" si="9"/>
        <v>2.0709407358448839E-2</v>
      </c>
      <c r="AP23" s="251"/>
      <c r="AQ23" s="248" t="s">
        <v>315</v>
      </c>
      <c r="AR23" s="136">
        <v>269.5</v>
      </c>
      <c r="AS23" s="250">
        <f t="shared" si="10"/>
        <v>5.4918385720436946E-2</v>
      </c>
      <c r="AT23" s="251"/>
      <c r="AU23" s="248" t="s">
        <v>315</v>
      </c>
      <c r="AV23" s="136">
        <v>77</v>
      </c>
      <c r="AW23" s="250">
        <f t="shared" si="11"/>
        <v>2.6529796027196406E-2</v>
      </c>
      <c r="AX23" s="251"/>
      <c r="AY23" s="248" t="s">
        <v>315</v>
      </c>
      <c r="AZ23" s="252">
        <v>4536.34</v>
      </c>
      <c r="BA23" s="250">
        <f t="shared" si="12"/>
        <v>6.8628451953425262E-3</v>
      </c>
    </row>
    <row r="24" spans="3:53" ht="14.25" customHeight="1" x14ac:dyDescent="0.35">
      <c r="C24" s="253">
        <v>45176</v>
      </c>
      <c r="D24" s="249">
        <v>188.21</v>
      </c>
      <c r="E24" s="250">
        <f t="shared" si="0"/>
        <v>2.8020537469958473E-2</v>
      </c>
      <c r="G24" s="253">
        <v>45176</v>
      </c>
      <c r="H24" s="136">
        <v>60.9</v>
      </c>
      <c r="I24" s="250">
        <f t="shared" si="1"/>
        <v>1.9076305220883549E-2</v>
      </c>
      <c r="K24" s="253">
        <v>45176</v>
      </c>
      <c r="L24" s="136">
        <v>31.66</v>
      </c>
      <c r="M24" s="250">
        <f t="shared" si="2"/>
        <v>-3.1486146095718315E-3</v>
      </c>
      <c r="O24" s="253">
        <v>45176</v>
      </c>
      <c r="P24" s="136">
        <v>57.31</v>
      </c>
      <c r="Q24" s="250">
        <f t="shared" si="3"/>
        <v>2.5774118489350295E-2</v>
      </c>
      <c r="R24" s="251"/>
      <c r="S24" s="253">
        <v>45176</v>
      </c>
      <c r="T24" s="136">
        <v>40.130000000000003</v>
      </c>
      <c r="U24" s="250">
        <f t="shared" si="4"/>
        <v>1.9822109275730693E-2</v>
      </c>
      <c r="V24" s="251"/>
      <c r="W24" s="253">
        <v>45176</v>
      </c>
      <c r="X24" s="136">
        <v>67.56</v>
      </c>
      <c r="Y24" s="250">
        <f t="shared" si="5"/>
        <v>5.5067718410477529E-3</v>
      </c>
      <c r="Z24" s="251"/>
      <c r="AA24" s="253">
        <v>45176</v>
      </c>
      <c r="AB24" s="136">
        <v>35.85</v>
      </c>
      <c r="AC24" s="250">
        <f t="shared" si="6"/>
        <v>1.0998307952622799E-2</v>
      </c>
      <c r="AD24" s="251"/>
      <c r="AE24" s="253">
        <v>45176</v>
      </c>
      <c r="AF24" s="136">
        <v>72.28</v>
      </c>
      <c r="AG24" s="250">
        <f t="shared" si="7"/>
        <v>3.8888888888888307E-3</v>
      </c>
      <c r="AH24" s="251"/>
      <c r="AI24" s="253">
        <v>45176</v>
      </c>
      <c r="AJ24" s="136">
        <v>238.87</v>
      </c>
      <c r="AK24" s="250">
        <f t="shared" si="8"/>
        <v>-1.6914972425713937E-2</v>
      </c>
      <c r="AL24" s="251"/>
      <c r="AM24" s="253">
        <v>45176</v>
      </c>
      <c r="AN24" s="136">
        <v>45.39</v>
      </c>
      <c r="AO24" s="250">
        <f t="shared" si="9"/>
        <v>-3.2938076416336726E-3</v>
      </c>
      <c r="AP24" s="251"/>
      <c r="AQ24" s="253">
        <v>45176</v>
      </c>
      <c r="AR24" s="136">
        <v>255.47</v>
      </c>
      <c r="AS24" s="250">
        <f t="shared" si="10"/>
        <v>7.8109590121897554E-3</v>
      </c>
      <c r="AT24" s="251"/>
      <c r="AU24" s="253">
        <v>45176</v>
      </c>
      <c r="AV24" s="136">
        <v>75.010000000000005</v>
      </c>
      <c r="AW24" s="250">
        <f t="shared" si="11"/>
        <v>-2.1285087135824998E-3</v>
      </c>
      <c r="AX24" s="251"/>
      <c r="AY24" s="253">
        <v>45176</v>
      </c>
      <c r="AZ24" s="252">
        <v>4505.42</v>
      </c>
      <c r="BA24" s="250">
        <f t="shared" si="12"/>
        <v>2.4203503108696456E-2</v>
      </c>
    </row>
    <row r="25" spans="3:53" ht="14.25" customHeight="1" x14ac:dyDescent="0.35">
      <c r="C25" s="253">
        <v>44964</v>
      </c>
      <c r="D25" s="249">
        <v>183.08</v>
      </c>
      <c r="E25" s="250">
        <f t="shared" si="0"/>
        <v>-1.1553827880358414E-2</v>
      </c>
      <c r="G25" s="253">
        <v>44964</v>
      </c>
      <c r="H25" s="136">
        <v>59.76</v>
      </c>
      <c r="I25" s="250">
        <f t="shared" si="1"/>
        <v>-7.6386582530720837E-3</v>
      </c>
      <c r="K25" s="253">
        <v>44964</v>
      </c>
      <c r="L25" s="136">
        <v>31.76</v>
      </c>
      <c r="M25" s="250">
        <f t="shared" si="2"/>
        <v>1.5669971218420287E-2</v>
      </c>
      <c r="O25" s="253">
        <v>44964</v>
      </c>
      <c r="P25" s="136">
        <v>55.87</v>
      </c>
      <c r="Q25" s="250">
        <f t="shared" si="3"/>
        <v>-2.733286908077992E-2</v>
      </c>
      <c r="R25" s="251"/>
      <c r="S25" s="253">
        <v>44964</v>
      </c>
      <c r="T25" s="136">
        <v>39.35</v>
      </c>
      <c r="U25" s="250">
        <f t="shared" si="4"/>
        <v>-2.1631029338637475E-2</v>
      </c>
      <c r="V25" s="251"/>
      <c r="W25" s="253">
        <v>44964</v>
      </c>
      <c r="X25" s="136">
        <v>67.19</v>
      </c>
      <c r="Y25" s="250">
        <f t="shared" si="5"/>
        <v>-3.1157270029674722E-3</v>
      </c>
      <c r="Z25" s="251"/>
      <c r="AA25" s="253">
        <v>44964</v>
      </c>
      <c r="AB25" s="136">
        <v>35.46</v>
      </c>
      <c r="AC25" s="250">
        <f t="shared" si="6"/>
        <v>-1.1267605633802358E-3</v>
      </c>
      <c r="AD25" s="251"/>
      <c r="AE25" s="253">
        <v>44964</v>
      </c>
      <c r="AF25" s="136">
        <v>72</v>
      </c>
      <c r="AG25" s="250">
        <f t="shared" si="7"/>
        <v>-1.2887304633945718E-2</v>
      </c>
      <c r="AH25" s="251"/>
      <c r="AI25" s="253">
        <v>44964</v>
      </c>
      <c r="AJ25" s="136">
        <v>242.98</v>
      </c>
      <c r="AK25" s="250">
        <f t="shared" si="8"/>
        <v>-2.6912294753704491E-2</v>
      </c>
      <c r="AL25" s="251"/>
      <c r="AM25" s="253">
        <v>44964</v>
      </c>
      <c r="AN25" s="136">
        <v>45.54</v>
      </c>
      <c r="AO25" s="250">
        <f t="shared" si="9"/>
        <v>-3.7190986654999092E-3</v>
      </c>
      <c r="AP25" s="251"/>
      <c r="AQ25" s="253">
        <v>44964</v>
      </c>
      <c r="AR25" s="136">
        <v>253.49</v>
      </c>
      <c r="AS25" s="250">
        <f t="shared" si="10"/>
        <v>2.9902896843131632E-2</v>
      </c>
      <c r="AT25" s="251"/>
      <c r="AU25" s="253">
        <v>44964</v>
      </c>
      <c r="AV25" s="136">
        <v>75.17</v>
      </c>
      <c r="AW25" s="250">
        <f t="shared" si="11"/>
        <v>-1.9947848761408093E-2</v>
      </c>
      <c r="AX25" s="251"/>
      <c r="AY25" s="253">
        <v>44964</v>
      </c>
      <c r="AZ25" s="252">
        <v>4398.95</v>
      </c>
      <c r="BA25" s="250">
        <f t="shared" si="12"/>
        <v>-1.1556316539261924E-2</v>
      </c>
    </row>
    <row r="26" spans="3:53" ht="14.25" customHeight="1" x14ac:dyDescent="0.35">
      <c r="C26" s="248" t="s">
        <v>316</v>
      </c>
      <c r="D26" s="249">
        <v>185.22</v>
      </c>
      <c r="E26" s="250">
        <f t="shared" si="0"/>
        <v>-4.5681732681248644E-3</v>
      </c>
      <c r="G26" s="248" t="s">
        <v>316</v>
      </c>
      <c r="H26" s="136">
        <v>60.22</v>
      </c>
      <c r="I26" s="250">
        <f t="shared" si="1"/>
        <v>-1.6013071895424891E-2</v>
      </c>
      <c r="K26" s="248" t="s">
        <v>316</v>
      </c>
      <c r="L26" s="136">
        <v>31.27</v>
      </c>
      <c r="M26" s="250">
        <f t="shared" si="2"/>
        <v>2.8864656831302238E-3</v>
      </c>
      <c r="O26" s="248" t="s">
        <v>316</v>
      </c>
      <c r="P26" s="136">
        <v>57.44</v>
      </c>
      <c r="Q26" s="250">
        <f t="shared" si="3"/>
        <v>-2.8252410759600721E-2</v>
      </c>
      <c r="R26" s="251"/>
      <c r="S26" s="248" t="s">
        <v>316</v>
      </c>
      <c r="T26" s="136">
        <v>40.22</v>
      </c>
      <c r="U26" s="250">
        <f t="shared" si="4"/>
        <v>-6.1774153694094114E-3</v>
      </c>
      <c r="V26" s="251"/>
      <c r="W26" s="248" t="s">
        <v>316</v>
      </c>
      <c r="X26" s="136">
        <v>67.400000000000006</v>
      </c>
      <c r="Y26" s="250">
        <f t="shared" si="5"/>
        <v>3.4376918354819042E-2</v>
      </c>
      <c r="Z26" s="251"/>
      <c r="AA26" s="248" t="s">
        <v>316</v>
      </c>
      <c r="AB26" s="136">
        <v>35.5</v>
      </c>
      <c r="AC26" s="250">
        <f t="shared" si="6"/>
        <v>-1.1417432470063993E-2</v>
      </c>
      <c r="AD26" s="251"/>
      <c r="AE26" s="248" t="s">
        <v>316</v>
      </c>
      <c r="AF26" s="136">
        <v>72.94</v>
      </c>
      <c r="AG26" s="250">
        <f t="shared" si="7"/>
        <v>-2.188782489740082E-3</v>
      </c>
      <c r="AH26" s="251"/>
      <c r="AI26" s="248" t="s">
        <v>316</v>
      </c>
      <c r="AJ26" s="136">
        <v>249.7</v>
      </c>
      <c r="AK26" s="250">
        <f t="shared" si="8"/>
        <v>-3.624223242888569E-2</v>
      </c>
      <c r="AL26" s="251"/>
      <c r="AM26" s="248" t="s">
        <v>316</v>
      </c>
      <c r="AN26" s="136">
        <v>45.71</v>
      </c>
      <c r="AO26" s="250">
        <f t="shared" si="9"/>
        <v>2.6321561745996647E-3</v>
      </c>
      <c r="AP26" s="251"/>
      <c r="AQ26" s="248" t="s">
        <v>316</v>
      </c>
      <c r="AR26" s="136">
        <v>246.13</v>
      </c>
      <c r="AS26" s="250">
        <f t="shared" si="10"/>
        <v>1.54715735621751E-2</v>
      </c>
      <c r="AT26" s="251"/>
      <c r="AU26" s="248" t="s">
        <v>316</v>
      </c>
      <c r="AV26" s="136">
        <v>76.7</v>
      </c>
      <c r="AW26" s="250">
        <f t="shared" si="11"/>
        <v>-5.6812592228233982E-2</v>
      </c>
      <c r="AX26" s="251"/>
      <c r="AY26" s="248" t="s">
        <v>316</v>
      </c>
      <c r="AZ26" s="252">
        <v>4450.38</v>
      </c>
      <c r="BA26" s="250">
        <f t="shared" si="12"/>
        <v>2.3468779968401687E-2</v>
      </c>
    </row>
    <row r="27" spans="3:53" ht="14.25" customHeight="1" x14ac:dyDescent="0.35">
      <c r="C27" s="248" t="s">
        <v>317</v>
      </c>
      <c r="D27" s="249">
        <v>186.07</v>
      </c>
      <c r="E27" s="250">
        <f t="shared" si="0"/>
        <v>1.6125564394764424E-4</v>
      </c>
      <c r="G27" s="248" t="s">
        <v>317</v>
      </c>
      <c r="H27" s="136">
        <v>61.2</v>
      </c>
      <c r="I27" s="250">
        <f t="shared" si="1"/>
        <v>-7.6212096643424321E-3</v>
      </c>
      <c r="K27" s="248" t="s">
        <v>317</v>
      </c>
      <c r="L27" s="136">
        <v>31.18</v>
      </c>
      <c r="M27" s="250">
        <f t="shared" si="2"/>
        <v>-3.077401305564198E-2</v>
      </c>
      <c r="O27" s="248" t="s">
        <v>317</v>
      </c>
      <c r="P27" s="136">
        <v>59.11</v>
      </c>
      <c r="Q27" s="250">
        <f t="shared" si="3"/>
        <v>1.1291702309666363E-2</v>
      </c>
      <c r="R27" s="251"/>
      <c r="S27" s="248" t="s">
        <v>317</v>
      </c>
      <c r="T27" s="136">
        <v>40.47</v>
      </c>
      <c r="U27" s="250">
        <f t="shared" si="4"/>
        <v>-1.9384540828689234E-2</v>
      </c>
      <c r="V27" s="251"/>
      <c r="W27" s="248" t="s">
        <v>317</v>
      </c>
      <c r="X27" s="136">
        <v>65.16</v>
      </c>
      <c r="Y27" s="250">
        <f t="shared" si="5"/>
        <v>-1.7046311660884106E-2</v>
      </c>
      <c r="Z27" s="251"/>
      <c r="AA27" s="248" t="s">
        <v>317</v>
      </c>
      <c r="AB27" s="136">
        <v>35.909999999999997</v>
      </c>
      <c r="AC27" s="250">
        <f t="shared" si="6"/>
        <v>-2.9197080291970989E-2</v>
      </c>
      <c r="AD27" s="251"/>
      <c r="AE27" s="248" t="s">
        <v>317</v>
      </c>
      <c r="AF27" s="136">
        <v>73.099999999999994</v>
      </c>
      <c r="AG27" s="250">
        <f t="shared" si="7"/>
        <v>-6.3884735625934219E-3</v>
      </c>
      <c r="AH27" s="251"/>
      <c r="AI27" s="248" t="s">
        <v>317</v>
      </c>
      <c r="AJ27" s="136">
        <v>259.08999999999997</v>
      </c>
      <c r="AK27" s="250">
        <f t="shared" si="8"/>
        <v>-6.2519177661861658E-3</v>
      </c>
      <c r="AL27" s="251"/>
      <c r="AM27" s="248" t="s">
        <v>317</v>
      </c>
      <c r="AN27" s="136">
        <v>45.59</v>
      </c>
      <c r="AO27" s="250">
        <f t="shared" si="9"/>
        <v>-1.788022404136147E-2</v>
      </c>
      <c r="AP27" s="251"/>
      <c r="AQ27" s="248" t="s">
        <v>317</v>
      </c>
      <c r="AR27" s="136">
        <v>242.38</v>
      </c>
      <c r="AS27" s="250">
        <f t="shared" si="10"/>
        <v>-1.4835589155794082E-2</v>
      </c>
      <c r="AT27" s="251"/>
      <c r="AU27" s="248" t="s">
        <v>317</v>
      </c>
      <c r="AV27" s="136">
        <v>81.319999999999993</v>
      </c>
      <c r="AW27" s="250">
        <f t="shared" si="11"/>
        <v>7.5579234295626296E-3</v>
      </c>
      <c r="AX27" s="251"/>
      <c r="AY27" s="248" t="s">
        <v>317</v>
      </c>
      <c r="AZ27" s="252">
        <v>4348.33</v>
      </c>
      <c r="BA27" s="250">
        <f t="shared" si="12"/>
        <v>-1.389244805072587E-2</v>
      </c>
    </row>
    <row r="28" spans="3:53" ht="14.25" customHeight="1" x14ac:dyDescent="0.35">
      <c r="C28" s="253">
        <v>45236</v>
      </c>
      <c r="D28" s="249">
        <v>186.04</v>
      </c>
      <c r="E28" s="250">
        <f t="shared" si="0"/>
        <v>2.0235810255004205E-2</v>
      </c>
      <c r="G28" s="253">
        <v>45236</v>
      </c>
      <c r="H28" s="136">
        <v>61.67</v>
      </c>
      <c r="I28" s="250">
        <f t="shared" si="1"/>
        <v>1.9844551017033307E-2</v>
      </c>
      <c r="K28" s="253">
        <v>45236</v>
      </c>
      <c r="L28" s="136">
        <v>32.17</v>
      </c>
      <c r="M28" s="250">
        <f t="shared" si="2"/>
        <v>2.7467262855317864E-2</v>
      </c>
      <c r="O28" s="253">
        <v>45236</v>
      </c>
      <c r="P28" s="136">
        <v>58.45</v>
      </c>
      <c r="Q28" s="250">
        <f t="shared" si="3"/>
        <v>2.0960698689956425E-2</v>
      </c>
      <c r="R28" s="251"/>
      <c r="S28" s="253">
        <v>45236</v>
      </c>
      <c r="T28" s="136">
        <v>41.27</v>
      </c>
      <c r="U28" s="250">
        <f t="shared" si="4"/>
        <v>9.7871299241498733E-3</v>
      </c>
      <c r="V28" s="251"/>
      <c r="W28" s="253">
        <v>45236</v>
      </c>
      <c r="X28" s="136">
        <v>66.290000000000006</v>
      </c>
      <c r="Y28" s="250">
        <f t="shared" si="5"/>
        <v>-1.2954139368671735E-2</v>
      </c>
      <c r="Z28" s="251"/>
      <c r="AA28" s="253">
        <v>45236</v>
      </c>
      <c r="AB28" s="136">
        <v>36.99</v>
      </c>
      <c r="AC28" s="250">
        <f t="shared" si="6"/>
        <v>2.982646420824242E-3</v>
      </c>
      <c r="AD28" s="251"/>
      <c r="AE28" s="253">
        <v>45236</v>
      </c>
      <c r="AF28" s="136">
        <v>73.569999999999993</v>
      </c>
      <c r="AG28" s="250">
        <f t="shared" si="7"/>
        <v>8.2225572152938575E-3</v>
      </c>
      <c r="AH28" s="251"/>
      <c r="AI28" s="253">
        <v>45236</v>
      </c>
      <c r="AJ28" s="136">
        <v>260.72000000000003</v>
      </c>
      <c r="AK28" s="250">
        <f t="shared" si="8"/>
        <v>1.915409272144486E-2</v>
      </c>
      <c r="AL28" s="251"/>
      <c r="AM28" s="253">
        <v>45236</v>
      </c>
      <c r="AN28" s="136">
        <v>46.42</v>
      </c>
      <c r="AO28" s="250">
        <f t="shared" si="9"/>
        <v>8.0347448425626133E-3</v>
      </c>
      <c r="AP28" s="251"/>
      <c r="AQ28" s="253">
        <v>45236</v>
      </c>
      <c r="AR28" s="136">
        <v>246.03</v>
      </c>
      <c r="AS28" s="250">
        <f t="shared" si="10"/>
        <v>1.8293944787053373E-2</v>
      </c>
      <c r="AT28" s="251"/>
      <c r="AU28" s="253">
        <v>45236</v>
      </c>
      <c r="AV28" s="136">
        <v>80.709999999999994</v>
      </c>
      <c r="AW28" s="250">
        <f t="shared" si="11"/>
        <v>-1.9319562575941696E-2</v>
      </c>
      <c r="AX28" s="251"/>
      <c r="AY28" s="253">
        <v>45236</v>
      </c>
      <c r="AZ28" s="252">
        <v>4409.59</v>
      </c>
      <c r="BA28" s="250">
        <f t="shared" si="12"/>
        <v>2.5757991653601264E-2</v>
      </c>
    </row>
    <row r="29" spans="3:53" ht="14.25" customHeight="1" x14ac:dyDescent="0.35">
      <c r="C29" s="253">
        <v>45022</v>
      </c>
      <c r="D29" s="249">
        <v>182.35</v>
      </c>
      <c r="E29" s="250">
        <f t="shared" si="0"/>
        <v>-9.2904487667065938E-3</v>
      </c>
      <c r="G29" s="253">
        <v>45022</v>
      </c>
      <c r="H29" s="136">
        <v>60.47</v>
      </c>
      <c r="I29" s="250">
        <f t="shared" si="1"/>
        <v>-1.1281883584041807E-2</v>
      </c>
      <c r="K29" s="253">
        <v>45022</v>
      </c>
      <c r="L29" s="136">
        <v>31.31</v>
      </c>
      <c r="M29" s="250">
        <f t="shared" si="2"/>
        <v>-4.4515103338632622E-3</v>
      </c>
      <c r="O29" s="253">
        <v>45022</v>
      </c>
      <c r="P29" s="136">
        <v>57.25</v>
      </c>
      <c r="Q29" s="250">
        <f t="shared" si="3"/>
        <v>-3.7491593813046342E-2</v>
      </c>
      <c r="R29" s="251"/>
      <c r="S29" s="253">
        <v>45022</v>
      </c>
      <c r="T29" s="136">
        <v>40.869999999999997</v>
      </c>
      <c r="U29" s="250">
        <f t="shared" si="4"/>
        <v>2.452783909737466E-3</v>
      </c>
      <c r="V29" s="251"/>
      <c r="W29" s="253">
        <v>45022</v>
      </c>
      <c r="X29" s="136">
        <v>67.16</v>
      </c>
      <c r="Y29" s="250">
        <f t="shared" si="5"/>
        <v>-3.4129692832765013E-3</v>
      </c>
      <c r="Z29" s="251"/>
      <c r="AA29" s="253">
        <v>45022</v>
      </c>
      <c r="AB29" s="136">
        <v>36.880000000000003</v>
      </c>
      <c r="AC29" s="250">
        <f t="shared" si="6"/>
        <v>-4.2326668397818623E-2</v>
      </c>
      <c r="AD29" s="251"/>
      <c r="AE29" s="253">
        <v>45022</v>
      </c>
      <c r="AF29" s="136">
        <v>72.97</v>
      </c>
      <c r="AG29" s="250">
        <f t="shared" si="7"/>
        <v>-1.7503702706341717E-2</v>
      </c>
      <c r="AH29" s="251"/>
      <c r="AI29" s="253">
        <v>45022</v>
      </c>
      <c r="AJ29" s="136">
        <v>255.82</v>
      </c>
      <c r="AK29" s="250">
        <f t="shared" si="8"/>
        <v>-1.9508642827028577E-2</v>
      </c>
      <c r="AL29" s="251"/>
      <c r="AM29" s="253">
        <v>45022</v>
      </c>
      <c r="AN29" s="136">
        <v>46.05</v>
      </c>
      <c r="AO29" s="250">
        <f t="shared" si="9"/>
        <v>-0.1053040606178357</v>
      </c>
      <c r="AP29" s="251"/>
      <c r="AQ29" s="253">
        <v>45022</v>
      </c>
      <c r="AR29" s="136">
        <v>241.61</v>
      </c>
      <c r="AS29" s="250">
        <f t="shared" si="10"/>
        <v>-1.5524407138782337E-2</v>
      </c>
      <c r="AT29" s="251"/>
      <c r="AU29" s="253">
        <v>45022</v>
      </c>
      <c r="AV29" s="136">
        <v>82.3</v>
      </c>
      <c r="AW29" s="250">
        <f t="shared" si="11"/>
        <v>-2.7071757891003689E-2</v>
      </c>
      <c r="AX29" s="251"/>
      <c r="AY29" s="253">
        <v>45022</v>
      </c>
      <c r="AZ29" s="252">
        <v>4298.8599999999997</v>
      </c>
      <c r="BA29" s="250">
        <f t="shared" si="12"/>
        <v>3.8506714739734438E-3</v>
      </c>
    </row>
    <row r="30" spans="3:53" ht="14.25" customHeight="1" x14ac:dyDescent="0.35">
      <c r="C30" s="248" t="s">
        <v>318</v>
      </c>
      <c r="D30" s="249">
        <v>184.06</v>
      </c>
      <c r="E30" s="250">
        <f t="shared" si="0"/>
        <v>2.6146639067436972E-3</v>
      </c>
      <c r="G30" s="248" t="s">
        <v>318</v>
      </c>
      <c r="H30" s="136">
        <v>61.16</v>
      </c>
      <c r="I30" s="250">
        <f t="shared" si="1"/>
        <v>1.4935280451377375E-2</v>
      </c>
      <c r="K30" s="248" t="s">
        <v>318</v>
      </c>
      <c r="L30" s="136">
        <v>31.45</v>
      </c>
      <c r="M30" s="250">
        <f t="shared" si="2"/>
        <v>1.2734797835083356E-3</v>
      </c>
      <c r="O30" s="248" t="s">
        <v>318</v>
      </c>
      <c r="P30" s="136">
        <v>59.48</v>
      </c>
      <c r="Q30" s="250">
        <f t="shared" si="3"/>
        <v>3.2459642423190438E-2</v>
      </c>
      <c r="R30" s="251"/>
      <c r="S30" s="248" t="s">
        <v>318</v>
      </c>
      <c r="T30" s="136">
        <v>40.770000000000003</v>
      </c>
      <c r="U30" s="250">
        <f t="shared" si="4"/>
        <v>5.9786846893683521E-2</v>
      </c>
      <c r="V30" s="251"/>
      <c r="W30" s="248" t="s">
        <v>318</v>
      </c>
      <c r="X30" s="136">
        <v>67.39</v>
      </c>
      <c r="Y30" s="250">
        <f t="shared" si="5"/>
        <v>-4.1377272055563852E-3</v>
      </c>
      <c r="Z30" s="251"/>
      <c r="AA30" s="248" t="s">
        <v>318</v>
      </c>
      <c r="AB30" s="136">
        <v>38.51</v>
      </c>
      <c r="AC30" s="250">
        <f t="shared" si="6"/>
        <v>4.4340114762648764E-3</v>
      </c>
      <c r="AD30" s="251"/>
      <c r="AE30" s="248" t="s">
        <v>318</v>
      </c>
      <c r="AF30" s="136">
        <v>74.27</v>
      </c>
      <c r="AG30" s="250">
        <f t="shared" si="7"/>
        <v>-1.1446825502462343E-2</v>
      </c>
      <c r="AH30" s="251"/>
      <c r="AI30" s="248" t="s">
        <v>318</v>
      </c>
      <c r="AJ30" s="136">
        <v>260.91000000000003</v>
      </c>
      <c r="AK30" s="250">
        <f t="shared" si="8"/>
        <v>1.2377774328728774E-2</v>
      </c>
      <c r="AL30" s="251"/>
      <c r="AM30" s="248" t="s">
        <v>318</v>
      </c>
      <c r="AN30" s="136">
        <v>51.47</v>
      </c>
      <c r="AO30" s="250">
        <f t="shared" si="9"/>
        <v>-7.7654824305961601E-4</v>
      </c>
      <c r="AP30" s="251"/>
      <c r="AQ30" s="248" t="s">
        <v>318</v>
      </c>
      <c r="AR30" s="136">
        <v>245.42</v>
      </c>
      <c r="AS30" s="250">
        <f t="shared" si="10"/>
        <v>5.3847475094469299E-2</v>
      </c>
      <c r="AT30" s="251"/>
      <c r="AU30" s="248" t="s">
        <v>318</v>
      </c>
      <c r="AV30" s="136">
        <v>84.59</v>
      </c>
      <c r="AW30" s="250">
        <f t="shared" si="11"/>
        <v>4.8705155618911089E-3</v>
      </c>
      <c r="AX30" s="251"/>
      <c r="AY30" s="248" t="s">
        <v>318</v>
      </c>
      <c r="AZ30" s="252">
        <v>4282.37</v>
      </c>
      <c r="BA30" s="250">
        <f t="shared" si="12"/>
        <v>1.8290551546207956E-2</v>
      </c>
    </row>
    <row r="31" spans="3:53" ht="14.25" customHeight="1" x14ac:dyDescent="0.35">
      <c r="C31" s="248" t="s">
        <v>319</v>
      </c>
      <c r="D31" s="249">
        <v>183.58</v>
      </c>
      <c r="E31" s="250">
        <f t="shared" si="0"/>
        <v>-4.3056713928273482E-2</v>
      </c>
      <c r="G31" s="248" t="s">
        <v>319</v>
      </c>
      <c r="H31" s="136">
        <v>60.26</v>
      </c>
      <c r="I31" s="250">
        <f t="shared" si="1"/>
        <v>-4.0904026738818988E-2</v>
      </c>
      <c r="K31" s="248" t="s">
        <v>319</v>
      </c>
      <c r="L31" s="136">
        <v>31.41</v>
      </c>
      <c r="M31" s="250">
        <f t="shared" si="2"/>
        <v>-1.3195098963242113E-2</v>
      </c>
      <c r="O31" s="248" t="s">
        <v>319</v>
      </c>
      <c r="P31" s="136">
        <v>57.61</v>
      </c>
      <c r="Q31" s="250">
        <f t="shared" si="3"/>
        <v>-3.4684986595174272E-2</v>
      </c>
      <c r="R31" s="251"/>
      <c r="S31" s="248" t="s">
        <v>319</v>
      </c>
      <c r="T31" s="136">
        <v>38.47</v>
      </c>
      <c r="U31" s="250">
        <f t="shared" si="4"/>
        <v>-2.2114895780376287E-2</v>
      </c>
      <c r="V31" s="251"/>
      <c r="W31" s="248" t="s">
        <v>319</v>
      </c>
      <c r="X31" s="136">
        <v>67.67</v>
      </c>
      <c r="Y31" s="250">
        <f t="shared" si="5"/>
        <v>-2.3943458820135488E-2</v>
      </c>
      <c r="Z31" s="251"/>
      <c r="AA31" s="248" t="s">
        <v>319</v>
      </c>
      <c r="AB31" s="136">
        <v>38.340000000000003</v>
      </c>
      <c r="AC31" s="250">
        <f t="shared" si="6"/>
        <v>-1.8684412592782085E-2</v>
      </c>
      <c r="AD31" s="251"/>
      <c r="AE31" s="248" t="s">
        <v>319</v>
      </c>
      <c r="AF31" s="136">
        <v>75.13</v>
      </c>
      <c r="AG31" s="250">
        <f t="shared" si="7"/>
        <v>-2.5045419153906123E-2</v>
      </c>
      <c r="AH31" s="251"/>
      <c r="AI31" s="248" t="s">
        <v>319</v>
      </c>
      <c r="AJ31" s="136">
        <v>257.72000000000003</v>
      </c>
      <c r="AK31" s="250">
        <f t="shared" si="8"/>
        <v>-3.1273492707863504E-2</v>
      </c>
      <c r="AL31" s="251"/>
      <c r="AM31" s="248" t="s">
        <v>319</v>
      </c>
      <c r="AN31" s="136">
        <v>51.51</v>
      </c>
      <c r="AO31" s="250">
        <f t="shared" si="9"/>
        <v>-2.2209567198177682E-2</v>
      </c>
      <c r="AP31" s="251"/>
      <c r="AQ31" s="248" t="s">
        <v>319</v>
      </c>
      <c r="AR31" s="136">
        <v>232.88</v>
      </c>
      <c r="AS31" s="250">
        <f t="shared" si="10"/>
        <v>-1.0242679246886821E-2</v>
      </c>
      <c r="AT31" s="251"/>
      <c r="AU31" s="248" t="s">
        <v>319</v>
      </c>
      <c r="AV31" s="136">
        <v>84.18</v>
      </c>
      <c r="AW31" s="250">
        <f t="shared" si="11"/>
        <v>-3.9370078740157299E-2</v>
      </c>
      <c r="AX31" s="251"/>
      <c r="AY31" s="248" t="s">
        <v>319</v>
      </c>
      <c r="AZ31" s="252">
        <v>4205.45</v>
      </c>
      <c r="BA31" s="250">
        <f t="shared" si="12"/>
        <v>3.2132786893068754E-3</v>
      </c>
    </row>
    <row r="32" spans="3:53" ht="14.25" customHeight="1" x14ac:dyDescent="0.35">
      <c r="C32" s="248" t="s">
        <v>320</v>
      </c>
      <c r="D32" s="249">
        <v>191.84</v>
      </c>
      <c r="E32" s="250">
        <f t="shared" si="0"/>
        <v>-2.1823373444829652E-2</v>
      </c>
      <c r="G32" s="248" t="s">
        <v>320</v>
      </c>
      <c r="H32" s="136">
        <v>62.83</v>
      </c>
      <c r="I32" s="250">
        <f t="shared" si="1"/>
        <v>-1.9965683980658233E-2</v>
      </c>
      <c r="K32" s="248" t="s">
        <v>320</v>
      </c>
      <c r="L32" s="136">
        <v>31.83</v>
      </c>
      <c r="M32" s="250">
        <f t="shared" si="2"/>
        <v>-2.5711662075298514E-2</v>
      </c>
      <c r="O32" s="248" t="s">
        <v>320</v>
      </c>
      <c r="P32" s="136">
        <v>59.68</v>
      </c>
      <c r="Q32" s="250">
        <f t="shared" si="3"/>
        <v>2.3513604299629787E-3</v>
      </c>
      <c r="R32" s="251"/>
      <c r="S32" s="248" t="s">
        <v>320</v>
      </c>
      <c r="T32" s="136">
        <v>39.340000000000003</v>
      </c>
      <c r="U32" s="250">
        <f t="shared" si="4"/>
        <v>-2.2365805168986008E-2</v>
      </c>
      <c r="V32" s="251"/>
      <c r="W32" s="248" t="s">
        <v>320</v>
      </c>
      <c r="X32" s="136">
        <v>69.33</v>
      </c>
      <c r="Y32" s="250">
        <f t="shared" si="5"/>
        <v>-2.0901002683236913E-2</v>
      </c>
      <c r="Z32" s="251"/>
      <c r="AA32" s="248" t="s">
        <v>320</v>
      </c>
      <c r="AB32" s="136">
        <v>39.07</v>
      </c>
      <c r="AC32" s="250">
        <f t="shared" si="6"/>
        <v>-3.9104771273979266E-2</v>
      </c>
      <c r="AD32" s="251"/>
      <c r="AE32" s="248" t="s">
        <v>320</v>
      </c>
      <c r="AF32" s="136">
        <v>77.06</v>
      </c>
      <c r="AG32" s="250">
        <f t="shared" si="7"/>
        <v>-1.0529019003595153E-2</v>
      </c>
      <c r="AH32" s="251"/>
      <c r="AI32" s="248" t="s">
        <v>320</v>
      </c>
      <c r="AJ32" s="136">
        <v>266.04000000000002</v>
      </c>
      <c r="AK32" s="250">
        <f t="shared" si="8"/>
        <v>-3.1102046762327751E-2</v>
      </c>
      <c r="AL32" s="251"/>
      <c r="AM32" s="248" t="s">
        <v>320</v>
      </c>
      <c r="AN32" s="136">
        <v>52.68</v>
      </c>
      <c r="AO32" s="250">
        <f t="shared" si="9"/>
        <v>-3.036996134732195E-2</v>
      </c>
      <c r="AP32" s="251"/>
      <c r="AQ32" s="248" t="s">
        <v>320</v>
      </c>
      <c r="AR32" s="136">
        <v>235.29</v>
      </c>
      <c r="AS32" s="250">
        <f t="shared" si="10"/>
        <v>3.3106476399560991E-2</v>
      </c>
      <c r="AT32" s="251"/>
      <c r="AU32" s="248" t="s">
        <v>320</v>
      </c>
      <c r="AV32" s="136">
        <v>87.63</v>
      </c>
      <c r="AW32" s="250">
        <f t="shared" si="11"/>
        <v>-3.2888202185189286E-2</v>
      </c>
      <c r="AX32" s="251"/>
      <c r="AY32" s="248" t="s">
        <v>320</v>
      </c>
      <c r="AZ32" s="252">
        <v>4191.9799999999996</v>
      </c>
      <c r="BA32" s="250">
        <f t="shared" si="12"/>
        <v>1.6464278093538454E-2</v>
      </c>
    </row>
    <row r="33" spans="3:53" ht="14.25" customHeight="1" x14ac:dyDescent="0.35">
      <c r="C33" s="253">
        <v>45112</v>
      </c>
      <c r="D33" s="249">
        <v>196.12</v>
      </c>
      <c r="E33" s="250">
        <f t="shared" si="0"/>
        <v>9.5228290523496906E-3</v>
      </c>
      <c r="G33" s="253">
        <v>45112</v>
      </c>
      <c r="H33" s="136">
        <v>64.11</v>
      </c>
      <c r="I33" s="250">
        <f t="shared" si="1"/>
        <v>1.405810684161235E-3</v>
      </c>
      <c r="K33" s="253">
        <v>45112</v>
      </c>
      <c r="L33" s="136">
        <v>32.67</v>
      </c>
      <c r="M33" s="250">
        <f t="shared" si="2"/>
        <v>-1.6852241950044977E-2</v>
      </c>
      <c r="O33" s="253">
        <v>45112</v>
      </c>
      <c r="P33" s="136">
        <v>59.54</v>
      </c>
      <c r="Q33" s="250">
        <f t="shared" si="3"/>
        <v>-2.8470942890638229E-3</v>
      </c>
      <c r="R33" s="251"/>
      <c r="S33" s="253">
        <v>45112</v>
      </c>
      <c r="T33" s="136">
        <v>40.24</v>
      </c>
      <c r="U33" s="250">
        <f t="shared" si="4"/>
        <v>-2.3300970873786464E-2</v>
      </c>
      <c r="V33" s="251"/>
      <c r="W33" s="253">
        <v>45112</v>
      </c>
      <c r="X33" s="136">
        <v>70.81</v>
      </c>
      <c r="Y33" s="250">
        <f t="shared" si="5"/>
        <v>6.5387348969438985E-3</v>
      </c>
      <c r="Z33" s="251"/>
      <c r="AA33" s="253">
        <v>45112</v>
      </c>
      <c r="AB33" s="136">
        <v>40.659999999999997</v>
      </c>
      <c r="AC33" s="250">
        <f t="shared" si="6"/>
        <v>-1.5972894482091049E-2</v>
      </c>
      <c r="AD33" s="251"/>
      <c r="AE33" s="253">
        <v>45112</v>
      </c>
      <c r="AF33" s="136">
        <v>77.88</v>
      </c>
      <c r="AG33" s="250">
        <f t="shared" si="7"/>
        <v>4.1258380608559797E-3</v>
      </c>
      <c r="AH33" s="251"/>
      <c r="AI33" s="253">
        <v>45112</v>
      </c>
      <c r="AJ33" s="136">
        <v>274.58</v>
      </c>
      <c r="AK33" s="250">
        <f t="shared" si="8"/>
        <v>-2.7240039225656654E-3</v>
      </c>
      <c r="AL33" s="251"/>
      <c r="AM33" s="253">
        <v>45112</v>
      </c>
      <c r="AN33" s="136">
        <v>54.33</v>
      </c>
      <c r="AO33" s="250">
        <f t="shared" si="9"/>
        <v>-7.4899525027403158E-3</v>
      </c>
      <c r="AP33" s="251"/>
      <c r="AQ33" s="253">
        <v>45112</v>
      </c>
      <c r="AR33" s="136">
        <v>227.75</v>
      </c>
      <c r="AS33" s="250">
        <f t="shared" si="10"/>
        <v>1.9289294665234546E-2</v>
      </c>
      <c r="AT33" s="251"/>
      <c r="AU33" s="253">
        <v>45112</v>
      </c>
      <c r="AV33" s="136">
        <v>90.61</v>
      </c>
      <c r="AW33" s="250">
        <f t="shared" si="11"/>
        <v>8.9076940207104549E-3</v>
      </c>
      <c r="AX33" s="251"/>
      <c r="AY33" s="253">
        <v>45112</v>
      </c>
      <c r="AZ33" s="252">
        <v>4124.08</v>
      </c>
      <c r="BA33" s="250">
        <f t="shared" si="12"/>
        <v>-2.9422786340284057E-3</v>
      </c>
    </row>
    <row r="34" spans="3:53" ht="14.25" customHeight="1" x14ac:dyDescent="0.35">
      <c r="C34" s="248" t="s">
        <v>321</v>
      </c>
      <c r="D34" s="249">
        <v>194.27</v>
      </c>
      <c r="E34" s="250">
        <f t="shared" si="0"/>
        <v>1.7706532558017907E-2</v>
      </c>
      <c r="G34" s="248" t="s">
        <v>321</v>
      </c>
      <c r="H34" s="136">
        <v>64.02</v>
      </c>
      <c r="I34" s="250">
        <f t="shared" si="1"/>
        <v>-2.0265003897117495E-3</v>
      </c>
      <c r="K34" s="248" t="s">
        <v>321</v>
      </c>
      <c r="L34" s="136">
        <v>33.229999999999997</v>
      </c>
      <c r="M34" s="250">
        <f t="shared" si="2"/>
        <v>1.6207951070336124E-2</v>
      </c>
      <c r="O34" s="248" t="s">
        <v>321</v>
      </c>
      <c r="P34" s="136">
        <v>59.71</v>
      </c>
      <c r="Q34" s="250">
        <f t="shared" si="3"/>
        <v>6.624999999999992E-2</v>
      </c>
      <c r="R34" s="251"/>
      <c r="S34" s="248" t="s">
        <v>321</v>
      </c>
      <c r="T34" s="136">
        <v>41.2</v>
      </c>
      <c r="U34" s="250">
        <f t="shared" si="4"/>
        <v>1.8793273986152492E-2</v>
      </c>
      <c r="V34" s="251"/>
      <c r="W34" s="248" t="s">
        <v>321</v>
      </c>
      <c r="X34" s="136">
        <v>70.349999999999994</v>
      </c>
      <c r="Y34" s="250">
        <f t="shared" si="5"/>
        <v>8.3130285222874356E-3</v>
      </c>
      <c r="Z34" s="251"/>
      <c r="AA34" s="248" t="s">
        <v>321</v>
      </c>
      <c r="AB34" s="136">
        <v>41.32</v>
      </c>
      <c r="AC34" s="250">
        <f t="shared" si="6"/>
        <v>5.2202699261522767E-2</v>
      </c>
      <c r="AD34" s="251"/>
      <c r="AE34" s="248" t="s">
        <v>321</v>
      </c>
      <c r="AF34" s="136">
        <v>77.56</v>
      </c>
      <c r="AG34" s="250">
        <f t="shared" si="7"/>
        <v>1.0948905109489093E-2</v>
      </c>
      <c r="AH34" s="251"/>
      <c r="AI34" s="248" t="s">
        <v>321</v>
      </c>
      <c r="AJ34" s="136">
        <v>275.33</v>
      </c>
      <c r="AK34" s="250">
        <f t="shared" si="8"/>
        <v>8.313191240020501E-3</v>
      </c>
      <c r="AL34" s="251"/>
      <c r="AM34" s="248" t="s">
        <v>321</v>
      </c>
      <c r="AN34" s="136">
        <v>54.74</v>
      </c>
      <c r="AO34" s="250">
        <f t="shared" si="9"/>
        <v>8.1031307550645248E-3</v>
      </c>
      <c r="AP34" s="251"/>
      <c r="AQ34" s="248" t="s">
        <v>321</v>
      </c>
      <c r="AR34" s="136">
        <v>223.44</v>
      </c>
      <c r="AS34" s="250">
        <f t="shared" si="10"/>
        <v>-2.6277944829389499E-2</v>
      </c>
      <c r="AT34" s="251"/>
      <c r="AU34" s="248" t="s">
        <v>321</v>
      </c>
      <c r="AV34" s="136">
        <v>89.81</v>
      </c>
      <c r="AW34" s="250">
        <f t="shared" si="11"/>
        <v>1.3313776373688357E-2</v>
      </c>
      <c r="AX34" s="251"/>
      <c r="AY34" s="248" t="s">
        <v>321</v>
      </c>
      <c r="AZ34" s="252">
        <v>4136.25</v>
      </c>
      <c r="BA34" s="250">
        <f t="shared" si="12"/>
        <v>-7.9698187783607821E-3</v>
      </c>
    </row>
    <row r="35" spans="3:53" ht="14.25" customHeight="1" x14ac:dyDescent="0.35">
      <c r="C35" s="248" t="s">
        <v>322</v>
      </c>
      <c r="D35" s="249">
        <v>190.89</v>
      </c>
      <c r="E35" s="250">
        <f t="shared" si="0"/>
        <v>2.9556118871689741E-2</v>
      </c>
      <c r="G35" s="248" t="s">
        <v>322</v>
      </c>
      <c r="H35" s="136">
        <v>64.150000000000006</v>
      </c>
      <c r="I35" s="250">
        <f t="shared" si="1"/>
        <v>1.5612802498050637E-3</v>
      </c>
      <c r="K35" s="248" t="s">
        <v>322</v>
      </c>
      <c r="L35" s="136">
        <v>32.700000000000003</v>
      </c>
      <c r="M35" s="250">
        <f t="shared" si="2"/>
        <v>-7.3916737468139315E-2</v>
      </c>
      <c r="O35" s="248" t="s">
        <v>322</v>
      </c>
      <c r="P35" s="136">
        <v>56</v>
      </c>
      <c r="Q35" s="250">
        <f t="shared" si="3"/>
        <v>5.5210099868098661E-2</v>
      </c>
      <c r="R35" s="251"/>
      <c r="S35" s="248" t="s">
        <v>322</v>
      </c>
      <c r="T35" s="136">
        <v>40.44</v>
      </c>
      <c r="U35" s="250">
        <f t="shared" si="4"/>
        <v>1.4805520702634745E-2</v>
      </c>
      <c r="V35" s="251"/>
      <c r="W35" s="248" t="s">
        <v>322</v>
      </c>
      <c r="X35" s="136">
        <v>69.77</v>
      </c>
      <c r="Y35" s="250">
        <f t="shared" si="5"/>
        <v>3.5931700074239181E-2</v>
      </c>
      <c r="Z35" s="251"/>
      <c r="AA35" s="248" t="s">
        <v>322</v>
      </c>
      <c r="AB35" s="136">
        <v>39.270000000000003</v>
      </c>
      <c r="AC35" s="250">
        <f t="shared" si="6"/>
        <v>1.2748597654259619E-3</v>
      </c>
      <c r="AD35" s="251"/>
      <c r="AE35" s="248" t="s">
        <v>322</v>
      </c>
      <c r="AF35" s="136">
        <v>76.72</v>
      </c>
      <c r="AG35" s="250">
        <f t="shared" si="7"/>
        <v>7.5715086932137021E-2</v>
      </c>
      <c r="AH35" s="251"/>
      <c r="AI35" s="248" t="s">
        <v>322</v>
      </c>
      <c r="AJ35" s="136">
        <v>273.06</v>
      </c>
      <c r="AK35" s="250">
        <f t="shared" si="8"/>
        <v>4.6808510638297829E-2</v>
      </c>
      <c r="AL35" s="251"/>
      <c r="AM35" s="248" t="s">
        <v>322</v>
      </c>
      <c r="AN35" s="136">
        <v>54.3</v>
      </c>
      <c r="AO35" s="250">
        <f t="shared" si="9"/>
        <v>1.173840134153159E-2</v>
      </c>
      <c r="AP35" s="251"/>
      <c r="AQ35" s="248" t="s">
        <v>322</v>
      </c>
      <c r="AR35" s="136">
        <v>229.47</v>
      </c>
      <c r="AS35" s="250">
        <f t="shared" si="10"/>
        <v>1.338102808691044E-2</v>
      </c>
      <c r="AT35" s="251"/>
      <c r="AU35" s="248" t="s">
        <v>322</v>
      </c>
      <c r="AV35" s="136">
        <v>88.63</v>
      </c>
      <c r="AW35" s="250">
        <f t="shared" si="11"/>
        <v>1.3493424814179367E-2</v>
      </c>
      <c r="AX35" s="251"/>
      <c r="AY35" s="248" t="s">
        <v>322</v>
      </c>
      <c r="AZ35" s="252">
        <v>4169.4799999999996</v>
      </c>
      <c r="BA35" s="250">
        <f t="shared" si="12"/>
        <v>8.6996071145171161E-3</v>
      </c>
    </row>
    <row r="36" spans="3:53" ht="14.25" customHeight="1" x14ac:dyDescent="0.35">
      <c r="C36" s="248" t="s">
        <v>323</v>
      </c>
      <c r="D36" s="249">
        <v>185.41</v>
      </c>
      <c r="E36" s="250">
        <f t="shared" si="0"/>
        <v>1.0353659201133514E-2</v>
      </c>
      <c r="G36" s="248" t="s">
        <v>323</v>
      </c>
      <c r="H36" s="136">
        <v>64.05</v>
      </c>
      <c r="I36" s="250">
        <f t="shared" si="1"/>
        <v>1.5860428231562196E-2</v>
      </c>
      <c r="K36" s="248" t="s">
        <v>323</v>
      </c>
      <c r="L36" s="136">
        <v>35.31</v>
      </c>
      <c r="M36" s="250">
        <f t="shared" si="2"/>
        <v>5.9829059829059617E-3</v>
      </c>
      <c r="O36" s="248" t="s">
        <v>323</v>
      </c>
      <c r="P36" s="136">
        <v>53.07</v>
      </c>
      <c r="Q36" s="250">
        <f t="shared" si="3"/>
        <v>9.7031963470319837E-3</v>
      </c>
      <c r="R36" s="251"/>
      <c r="S36" s="248" t="s">
        <v>323</v>
      </c>
      <c r="T36" s="136">
        <v>39.85</v>
      </c>
      <c r="U36" s="250">
        <f t="shared" si="4"/>
        <v>1.5028018339276805E-2</v>
      </c>
      <c r="V36" s="251"/>
      <c r="W36" s="248" t="s">
        <v>323</v>
      </c>
      <c r="X36" s="136">
        <v>67.349999999999994</v>
      </c>
      <c r="Y36" s="250">
        <f t="shared" si="5"/>
        <v>5.2238805970148405E-3</v>
      </c>
      <c r="Z36" s="251"/>
      <c r="AA36" s="248" t="s">
        <v>323</v>
      </c>
      <c r="AB36" s="136">
        <v>39.22</v>
      </c>
      <c r="AC36" s="250">
        <f t="shared" si="6"/>
        <v>3.0690537084399061E-3</v>
      </c>
      <c r="AD36" s="251"/>
      <c r="AE36" s="248" t="s">
        <v>323</v>
      </c>
      <c r="AF36" s="136">
        <v>71.319999999999993</v>
      </c>
      <c r="AG36" s="250">
        <f t="shared" si="7"/>
        <v>2.1630138948574462E-2</v>
      </c>
      <c r="AH36" s="251"/>
      <c r="AI36" s="248" t="s">
        <v>323</v>
      </c>
      <c r="AJ36" s="136">
        <v>260.85000000000002</v>
      </c>
      <c r="AK36" s="250">
        <f t="shared" si="8"/>
        <v>1.7832058685812502E-2</v>
      </c>
      <c r="AL36" s="251"/>
      <c r="AM36" s="248" t="s">
        <v>323</v>
      </c>
      <c r="AN36" s="136">
        <v>53.67</v>
      </c>
      <c r="AO36" s="250">
        <f t="shared" si="9"/>
        <v>-2.0262869660459981E-2</v>
      </c>
      <c r="AP36" s="251"/>
      <c r="AQ36" s="248" t="s">
        <v>323</v>
      </c>
      <c r="AR36" s="136">
        <v>226.44</v>
      </c>
      <c r="AS36" s="250">
        <f t="shared" si="10"/>
        <v>-7.8429654296104934E-3</v>
      </c>
      <c r="AT36" s="251"/>
      <c r="AU36" s="248" t="s">
        <v>323</v>
      </c>
      <c r="AV36" s="136">
        <v>87.45</v>
      </c>
      <c r="AW36" s="250">
        <f t="shared" si="11"/>
        <v>1.028188539741226E-2</v>
      </c>
      <c r="AX36" s="251"/>
      <c r="AY36" s="248" t="s">
        <v>323</v>
      </c>
      <c r="AZ36" s="252">
        <v>4133.5200000000004</v>
      </c>
      <c r="BA36" s="250">
        <f t="shared" si="12"/>
        <v>-9.9573670014785343E-4</v>
      </c>
    </row>
    <row r="37" spans="3:53" ht="14.25" customHeight="1" x14ac:dyDescent="0.35">
      <c r="C37" s="253">
        <v>45173</v>
      </c>
      <c r="D37" s="249">
        <v>183.51</v>
      </c>
      <c r="E37" s="250">
        <f t="shared" si="0"/>
        <v>-4.6105445866783112E-3</v>
      </c>
      <c r="G37" s="253">
        <v>45173</v>
      </c>
      <c r="H37" s="136">
        <v>63.05</v>
      </c>
      <c r="I37" s="250">
        <f t="shared" si="1"/>
        <v>3.3418204964990039E-3</v>
      </c>
      <c r="K37" s="253">
        <v>45173</v>
      </c>
      <c r="L37" s="136">
        <v>35.1</v>
      </c>
      <c r="M37" s="250">
        <f t="shared" si="2"/>
        <v>-1.5151515151515138E-2</v>
      </c>
      <c r="O37" s="253">
        <v>45173</v>
      </c>
      <c r="P37" s="136">
        <v>52.56</v>
      </c>
      <c r="Q37" s="250">
        <f t="shared" si="3"/>
        <v>0</v>
      </c>
      <c r="R37" s="251"/>
      <c r="S37" s="253">
        <v>45173</v>
      </c>
      <c r="T37" s="136">
        <v>39.26</v>
      </c>
      <c r="U37" s="250">
        <f t="shared" si="4"/>
        <v>-2.6048127015628975E-2</v>
      </c>
      <c r="V37" s="251"/>
      <c r="W37" s="253">
        <v>45173</v>
      </c>
      <c r="X37" s="136">
        <v>67</v>
      </c>
      <c r="Y37" s="250">
        <f t="shared" si="5"/>
        <v>-1.4560964847771696E-2</v>
      </c>
      <c r="Z37" s="251"/>
      <c r="AA37" s="253">
        <v>45173</v>
      </c>
      <c r="AB37" s="136">
        <v>39.1</v>
      </c>
      <c r="AC37" s="250">
        <f t="shared" si="6"/>
        <v>-1.0219724067449532E-3</v>
      </c>
      <c r="AD37" s="251"/>
      <c r="AE37" s="253">
        <v>45173</v>
      </c>
      <c r="AF37" s="136">
        <v>69.81</v>
      </c>
      <c r="AG37" s="250">
        <f t="shared" si="7"/>
        <v>-1.7452498240675518E-2</v>
      </c>
      <c r="AH37" s="251"/>
      <c r="AI37" s="253">
        <v>45173</v>
      </c>
      <c r="AJ37" s="136">
        <v>256.27999999999997</v>
      </c>
      <c r="AK37" s="250">
        <f t="shared" si="8"/>
        <v>-1.3814599607496203E-2</v>
      </c>
      <c r="AL37" s="251"/>
      <c r="AM37" s="253">
        <v>45173</v>
      </c>
      <c r="AN37" s="136">
        <v>54.78</v>
      </c>
      <c r="AO37" s="250">
        <f t="shared" si="9"/>
        <v>-1.2439156300703025E-2</v>
      </c>
      <c r="AP37" s="251"/>
      <c r="AQ37" s="253">
        <v>45173</v>
      </c>
      <c r="AR37" s="136">
        <v>228.23</v>
      </c>
      <c r="AS37" s="250">
        <f t="shared" si="10"/>
        <v>1.5981125356125281E-2</v>
      </c>
      <c r="AT37" s="251"/>
      <c r="AU37" s="253">
        <v>45173</v>
      </c>
      <c r="AV37" s="136">
        <v>86.56</v>
      </c>
      <c r="AW37" s="250">
        <f t="shared" si="11"/>
        <v>-3.9125431530495636E-3</v>
      </c>
      <c r="AX37" s="251"/>
      <c r="AY37" s="253">
        <v>45173</v>
      </c>
      <c r="AZ37" s="252">
        <v>4137.6400000000003</v>
      </c>
      <c r="BA37" s="250">
        <f t="shared" si="12"/>
        <v>7.9463681053928426E-3</v>
      </c>
    </row>
    <row r="38" spans="3:53" ht="14.25" customHeight="1" x14ac:dyDescent="0.35">
      <c r="C38" s="253">
        <v>44961</v>
      </c>
      <c r="D38" s="249">
        <v>184.36</v>
      </c>
      <c r="E38" s="250">
        <f t="shared" si="0"/>
        <v>1.1300054854635144E-2</v>
      </c>
      <c r="G38" s="253">
        <v>44961</v>
      </c>
      <c r="H38" s="136">
        <v>62.84</v>
      </c>
      <c r="I38" s="250">
        <f t="shared" si="1"/>
        <v>1.3058197646300229E-2</v>
      </c>
      <c r="K38" s="253">
        <v>44961</v>
      </c>
      <c r="L38" s="136">
        <v>35.64</v>
      </c>
      <c r="M38" s="250">
        <f t="shared" si="2"/>
        <v>1.0204081632652962E-2</v>
      </c>
      <c r="O38" s="253">
        <v>44961</v>
      </c>
      <c r="P38" s="136">
        <v>52.56</v>
      </c>
      <c r="Q38" s="250">
        <f t="shared" si="3"/>
        <v>-2.6846880207368917E-2</v>
      </c>
      <c r="R38" s="251"/>
      <c r="S38" s="253">
        <v>44961</v>
      </c>
      <c r="T38" s="136">
        <v>40.31</v>
      </c>
      <c r="U38" s="250">
        <f t="shared" si="4"/>
        <v>1.0782347041123463E-2</v>
      </c>
      <c r="V38" s="251"/>
      <c r="W38" s="253">
        <v>44961</v>
      </c>
      <c r="X38" s="136">
        <v>67.989999999999995</v>
      </c>
      <c r="Y38" s="250">
        <f t="shared" si="5"/>
        <v>1.5382317801672762E-2</v>
      </c>
      <c r="Z38" s="251"/>
      <c r="AA38" s="253">
        <v>44961</v>
      </c>
      <c r="AB38" s="136">
        <v>39.14</v>
      </c>
      <c r="AC38" s="250">
        <f t="shared" si="6"/>
        <v>1.2154124644427222E-2</v>
      </c>
      <c r="AD38" s="251"/>
      <c r="AE38" s="253">
        <v>44961</v>
      </c>
      <c r="AF38" s="136">
        <v>71.05</v>
      </c>
      <c r="AG38" s="250">
        <f t="shared" si="7"/>
        <v>1.9076305220883549E-2</v>
      </c>
      <c r="AH38" s="251"/>
      <c r="AI38" s="253">
        <v>44961</v>
      </c>
      <c r="AJ38" s="136">
        <v>259.87</v>
      </c>
      <c r="AK38" s="250">
        <f t="shared" si="8"/>
        <v>2.146142054164546E-2</v>
      </c>
      <c r="AL38" s="251"/>
      <c r="AM38" s="253">
        <v>44961</v>
      </c>
      <c r="AN38" s="136">
        <v>55.47</v>
      </c>
      <c r="AO38" s="250">
        <f t="shared" si="9"/>
        <v>8.9123317570025673E-3</v>
      </c>
      <c r="AP38" s="251"/>
      <c r="AQ38" s="253">
        <v>44961</v>
      </c>
      <c r="AR38" s="136">
        <v>224.64</v>
      </c>
      <c r="AS38" s="250">
        <f t="shared" si="10"/>
        <v>-5.5336668289875934E-3</v>
      </c>
      <c r="AT38" s="251"/>
      <c r="AU38" s="253">
        <v>44961</v>
      </c>
      <c r="AV38" s="136">
        <v>86.9</v>
      </c>
      <c r="AW38" s="250">
        <f t="shared" si="11"/>
        <v>1.6849988298619278E-2</v>
      </c>
      <c r="AX38" s="251"/>
      <c r="AY38" s="253">
        <v>44961</v>
      </c>
      <c r="AZ38" s="252">
        <v>4105.0200000000004</v>
      </c>
      <c r="BA38" s="250">
        <f t="shared" si="12"/>
        <v>-1.0439708856231356E-3</v>
      </c>
    </row>
    <row r="39" spans="3:53" ht="14.25" customHeight="1" x14ac:dyDescent="0.35">
      <c r="C39" s="248" t="s">
        <v>324</v>
      </c>
      <c r="D39" s="249">
        <v>182.3</v>
      </c>
      <c r="E39" s="250">
        <f t="shared" si="0"/>
        <v>1.7923948852532234E-2</v>
      </c>
      <c r="G39" s="248" t="s">
        <v>324</v>
      </c>
      <c r="H39" s="136">
        <v>62.03</v>
      </c>
      <c r="I39" s="250">
        <f t="shared" si="1"/>
        <v>1.8555008210180635E-2</v>
      </c>
      <c r="K39" s="248" t="s">
        <v>324</v>
      </c>
      <c r="L39" s="136">
        <v>35.28</v>
      </c>
      <c r="M39" s="250">
        <f t="shared" si="2"/>
        <v>1.1757958130198087E-2</v>
      </c>
      <c r="O39" s="248" t="s">
        <v>324</v>
      </c>
      <c r="P39" s="136">
        <v>54.01</v>
      </c>
      <c r="Q39" s="250">
        <f t="shared" si="3"/>
        <v>3.7855495772482595E-2</v>
      </c>
      <c r="R39" s="251"/>
      <c r="S39" s="248" t="s">
        <v>324</v>
      </c>
      <c r="T39" s="136">
        <v>39.880000000000003</v>
      </c>
      <c r="U39" s="250">
        <f t="shared" si="4"/>
        <v>3.1824062095731076E-2</v>
      </c>
      <c r="V39" s="251"/>
      <c r="W39" s="248" t="s">
        <v>324</v>
      </c>
      <c r="X39" s="136">
        <v>66.959999999999994</v>
      </c>
      <c r="Y39" s="250">
        <f t="shared" si="5"/>
        <v>2.2758515350542075E-2</v>
      </c>
      <c r="Z39" s="251"/>
      <c r="AA39" s="248" t="s">
        <v>324</v>
      </c>
      <c r="AB39" s="136">
        <v>38.67</v>
      </c>
      <c r="AC39" s="250">
        <f t="shared" si="6"/>
        <v>1.2833944473546355E-2</v>
      </c>
      <c r="AD39" s="251"/>
      <c r="AE39" s="248" t="s">
        <v>324</v>
      </c>
      <c r="AF39" s="136">
        <v>69.72</v>
      </c>
      <c r="AG39" s="250">
        <f t="shared" si="7"/>
        <v>9.8493626882965035E-3</v>
      </c>
      <c r="AH39" s="251"/>
      <c r="AI39" s="248" t="s">
        <v>324</v>
      </c>
      <c r="AJ39" s="136">
        <v>254.41</v>
      </c>
      <c r="AK39" s="250">
        <f t="shared" si="8"/>
        <v>2.6426208343419688E-2</v>
      </c>
      <c r="AL39" s="251"/>
      <c r="AM39" s="248" t="s">
        <v>324</v>
      </c>
      <c r="AN39" s="136">
        <v>54.98</v>
      </c>
      <c r="AO39" s="250">
        <f t="shared" si="9"/>
        <v>8.0674734140080417E-3</v>
      </c>
      <c r="AP39" s="251"/>
      <c r="AQ39" s="248" t="s">
        <v>324</v>
      </c>
      <c r="AR39" s="136">
        <v>225.89</v>
      </c>
      <c r="AS39" s="250">
        <f t="shared" si="10"/>
        <v>3.6430373938976857E-2</v>
      </c>
      <c r="AT39" s="251"/>
      <c r="AU39" s="248" t="s">
        <v>324</v>
      </c>
      <c r="AV39" s="136">
        <v>85.46</v>
      </c>
      <c r="AW39" s="250">
        <f t="shared" si="11"/>
        <v>7.7830188679244294E-3</v>
      </c>
      <c r="AX39" s="251"/>
      <c r="AY39" s="248" t="s">
        <v>324</v>
      </c>
      <c r="AZ39" s="252">
        <v>4109.3100000000004</v>
      </c>
      <c r="BA39" s="250">
        <f t="shared" si="12"/>
        <v>3.4832623602678581E-2</v>
      </c>
    </row>
    <row r="40" spans="3:53" ht="14.25" customHeight="1" x14ac:dyDescent="0.35">
      <c r="C40" s="248" t="s">
        <v>325</v>
      </c>
      <c r="D40" s="249">
        <v>179.09</v>
      </c>
      <c r="E40" s="250">
        <f t="shared" si="0"/>
        <v>2.2611774110660621E-2</v>
      </c>
      <c r="G40" s="248" t="s">
        <v>325</v>
      </c>
      <c r="H40" s="136">
        <v>60.9</v>
      </c>
      <c r="I40" s="250">
        <f t="shared" si="1"/>
        <v>1.4661779406864195E-2</v>
      </c>
      <c r="K40" s="248" t="s">
        <v>325</v>
      </c>
      <c r="L40" s="136">
        <v>34.869999999999997</v>
      </c>
      <c r="M40" s="250">
        <f t="shared" si="2"/>
        <v>2.868617326448053E-4</v>
      </c>
      <c r="O40" s="248" t="s">
        <v>325</v>
      </c>
      <c r="P40" s="136">
        <v>52.04</v>
      </c>
      <c r="Q40" s="250">
        <f t="shared" si="3"/>
        <v>1.0681685764226012E-2</v>
      </c>
      <c r="R40" s="251"/>
      <c r="S40" s="248" t="s">
        <v>325</v>
      </c>
      <c r="T40" s="136">
        <v>38.65</v>
      </c>
      <c r="U40" s="250">
        <f t="shared" si="4"/>
        <v>7.8226857887873091E-3</v>
      </c>
      <c r="V40" s="251"/>
      <c r="W40" s="248" t="s">
        <v>325</v>
      </c>
      <c r="X40" s="136">
        <v>65.47</v>
      </c>
      <c r="Y40" s="250">
        <f t="shared" si="5"/>
        <v>1.1275872721655977E-2</v>
      </c>
      <c r="Z40" s="251"/>
      <c r="AA40" s="248" t="s">
        <v>325</v>
      </c>
      <c r="AB40" s="136">
        <v>38.18</v>
      </c>
      <c r="AC40" s="250">
        <f t="shared" si="6"/>
        <v>1.4615997874036557E-2</v>
      </c>
      <c r="AD40" s="251"/>
      <c r="AE40" s="248" t="s">
        <v>325</v>
      </c>
      <c r="AF40" s="136">
        <v>69.040000000000006</v>
      </c>
      <c r="AG40" s="250">
        <f t="shared" si="7"/>
        <v>3.9759036144578319E-2</v>
      </c>
      <c r="AH40" s="251"/>
      <c r="AI40" s="248" t="s">
        <v>325</v>
      </c>
      <c r="AJ40" s="136">
        <v>247.86</v>
      </c>
      <c r="AK40" s="250">
        <f t="shared" si="8"/>
        <v>1.9370758790869802E-2</v>
      </c>
      <c r="AL40" s="251"/>
      <c r="AM40" s="248" t="s">
        <v>325</v>
      </c>
      <c r="AN40" s="136">
        <v>54.54</v>
      </c>
      <c r="AO40" s="250">
        <f t="shared" si="9"/>
        <v>2.1730985387785617E-2</v>
      </c>
      <c r="AP40" s="251"/>
      <c r="AQ40" s="248" t="s">
        <v>325</v>
      </c>
      <c r="AR40" s="136">
        <v>217.95</v>
      </c>
      <c r="AS40" s="250">
        <f t="shared" si="10"/>
        <v>3.3428165007112209E-2</v>
      </c>
      <c r="AT40" s="251"/>
      <c r="AU40" s="248" t="s">
        <v>325</v>
      </c>
      <c r="AV40" s="136">
        <v>84.8</v>
      </c>
      <c r="AW40" s="250">
        <f t="shared" si="11"/>
        <v>6.2789823286125923E-2</v>
      </c>
      <c r="AX40" s="251"/>
      <c r="AY40" s="248" t="s">
        <v>325</v>
      </c>
      <c r="AZ40" s="252">
        <v>3970.99</v>
      </c>
      <c r="BA40" s="250">
        <f t="shared" si="12"/>
        <v>1.3876690224273736E-2</v>
      </c>
    </row>
    <row r="41" spans="3:53" ht="14.25" customHeight="1" x14ac:dyDescent="0.35">
      <c r="C41" s="253">
        <v>45263</v>
      </c>
      <c r="D41" s="249">
        <v>175.13</v>
      </c>
      <c r="E41" s="250">
        <f t="shared" si="0"/>
        <v>1.8020112771028218E-2</v>
      </c>
      <c r="G41" s="253">
        <v>45263</v>
      </c>
      <c r="H41" s="136">
        <v>60.02</v>
      </c>
      <c r="I41" s="250">
        <f t="shared" si="1"/>
        <v>1.3680121601080897E-2</v>
      </c>
      <c r="K41" s="253">
        <v>45263</v>
      </c>
      <c r="L41" s="136">
        <v>34.86</v>
      </c>
      <c r="M41" s="250">
        <f t="shared" si="2"/>
        <v>1.5734265734265618E-2</v>
      </c>
      <c r="O41" s="253">
        <v>45263</v>
      </c>
      <c r="P41" s="136">
        <v>51.49</v>
      </c>
      <c r="Q41" s="250">
        <f t="shared" si="3"/>
        <v>2.7949690556997364E-2</v>
      </c>
      <c r="R41" s="251"/>
      <c r="S41" s="253">
        <v>45263</v>
      </c>
      <c r="T41" s="136">
        <v>38.35</v>
      </c>
      <c r="U41" s="250">
        <f t="shared" si="4"/>
        <v>-2.118427769270026E-2</v>
      </c>
      <c r="V41" s="251"/>
      <c r="W41" s="253">
        <v>45263</v>
      </c>
      <c r="X41" s="136">
        <v>64.739999999999995</v>
      </c>
      <c r="Y41" s="250">
        <f t="shared" si="5"/>
        <v>1.3304116450148618E-2</v>
      </c>
      <c r="Z41" s="251"/>
      <c r="AA41" s="253">
        <v>45263</v>
      </c>
      <c r="AB41" s="136">
        <v>37.630000000000003</v>
      </c>
      <c r="AC41" s="250">
        <f t="shared" si="6"/>
        <v>-8.1707959936740959E-3</v>
      </c>
      <c r="AD41" s="251"/>
      <c r="AE41" s="253">
        <v>45263</v>
      </c>
      <c r="AF41" s="136">
        <v>66.400000000000006</v>
      </c>
      <c r="AG41" s="250">
        <f t="shared" si="7"/>
        <v>2.3112480739599484E-2</v>
      </c>
      <c r="AH41" s="251"/>
      <c r="AI41" s="253">
        <v>45263</v>
      </c>
      <c r="AJ41" s="136">
        <v>243.15</v>
      </c>
      <c r="AK41" s="250">
        <f t="shared" si="8"/>
        <v>2.2755951880205183E-2</v>
      </c>
      <c r="AL41" s="251"/>
      <c r="AM41" s="253">
        <v>45263</v>
      </c>
      <c r="AN41" s="136">
        <v>53.38</v>
      </c>
      <c r="AO41" s="250">
        <f t="shared" si="9"/>
        <v>1.6568272709960086E-2</v>
      </c>
      <c r="AP41" s="251"/>
      <c r="AQ41" s="253">
        <v>45263</v>
      </c>
      <c r="AR41" s="136">
        <v>210.9</v>
      </c>
      <c r="AS41" s="250">
        <f t="shared" si="10"/>
        <v>-5.18867924528299E-3</v>
      </c>
      <c r="AT41" s="251"/>
      <c r="AU41" s="253">
        <v>45263</v>
      </c>
      <c r="AV41" s="136">
        <v>79.790000000000006</v>
      </c>
      <c r="AW41" s="250">
        <f t="shared" si="11"/>
        <v>1.617422312786565E-2</v>
      </c>
      <c r="AX41" s="251"/>
      <c r="AY41" s="253">
        <v>45263</v>
      </c>
      <c r="AZ41" s="252">
        <v>3916.64</v>
      </c>
      <c r="BA41" s="250">
        <f t="shared" si="12"/>
        <v>1.4255785829153211E-2</v>
      </c>
    </row>
    <row r="42" spans="3:53" ht="14.25" customHeight="1" x14ac:dyDescent="0.35">
      <c r="C42" s="253">
        <v>45049</v>
      </c>
      <c r="D42" s="249">
        <v>172.03</v>
      </c>
      <c r="E42" s="250">
        <f t="shared" si="0"/>
        <v>-6.4683800173260808E-3</v>
      </c>
      <c r="G42" s="253">
        <v>45049</v>
      </c>
      <c r="H42" s="136">
        <v>59.21</v>
      </c>
      <c r="I42" s="250">
        <f t="shared" si="1"/>
        <v>-3.8694481830416905E-3</v>
      </c>
      <c r="K42" s="253">
        <v>45049</v>
      </c>
      <c r="L42" s="136">
        <v>34.32</v>
      </c>
      <c r="M42" s="250">
        <f t="shared" si="2"/>
        <v>-6.6570188133139307E-3</v>
      </c>
      <c r="O42" s="253">
        <v>45049</v>
      </c>
      <c r="P42" s="136">
        <v>50.09</v>
      </c>
      <c r="Q42" s="250">
        <f t="shared" si="3"/>
        <v>-1.8035679278572747E-2</v>
      </c>
      <c r="R42" s="251"/>
      <c r="S42" s="253">
        <v>45049</v>
      </c>
      <c r="T42" s="136">
        <v>39.18</v>
      </c>
      <c r="U42" s="250">
        <f t="shared" si="4"/>
        <v>-3.5687915333497466E-2</v>
      </c>
      <c r="V42" s="251"/>
      <c r="W42" s="253">
        <v>45049</v>
      </c>
      <c r="X42" s="136">
        <v>63.89</v>
      </c>
      <c r="Y42" s="250">
        <f t="shared" si="5"/>
        <v>-2.2191613100704055E-2</v>
      </c>
      <c r="Z42" s="251"/>
      <c r="AA42" s="253">
        <v>45049</v>
      </c>
      <c r="AB42" s="136">
        <v>37.94</v>
      </c>
      <c r="AC42" s="250">
        <f t="shared" si="6"/>
        <v>-2.817622950819676E-2</v>
      </c>
      <c r="AD42" s="251"/>
      <c r="AE42" s="253">
        <v>45049</v>
      </c>
      <c r="AF42" s="136">
        <v>64.900000000000006</v>
      </c>
      <c r="AG42" s="250">
        <f t="shared" si="7"/>
        <v>-1.2326890884187924E-2</v>
      </c>
      <c r="AH42" s="251"/>
      <c r="AI42" s="253">
        <v>45049</v>
      </c>
      <c r="AJ42" s="136">
        <v>237.74</v>
      </c>
      <c r="AK42" s="250">
        <f t="shared" si="8"/>
        <v>-2.7684563758388903E-3</v>
      </c>
      <c r="AL42" s="251"/>
      <c r="AM42" s="253">
        <v>45049</v>
      </c>
      <c r="AN42" s="136">
        <v>52.51</v>
      </c>
      <c r="AO42" s="250">
        <f t="shared" si="9"/>
        <v>1.908032818164429E-3</v>
      </c>
      <c r="AP42" s="251"/>
      <c r="AQ42" s="253">
        <v>45049</v>
      </c>
      <c r="AR42" s="136">
        <v>212</v>
      </c>
      <c r="AS42" s="250">
        <f t="shared" si="10"/>
        <v>-5.039193729003355E-2</v>
      </c>
      <c r="AT42" s="251"/>
      <c r="AU42" s="253">
        <v>45049</v>
      </c>
      <c r="AV42" s="136">
        <v>78.52</v>
      </c>
      <c r="AW42" s="250">
        <f t="shared" si="11"/>
        <v>-1.3567839195979925E-2</v>
      </c>
      <c r="AX42" s="251"/>
      <c r="AY42" s="253">
        <v>45049</v>
      </c>
      <c r="AZ42" s="252">
        <v>3861.59</v>
      </c>
      <c r="BA42" s="250">
        <f t="shared" si="12"/>
        <v>-4.5493420076922253E-2</v>
      </c>
    </row>
    <row r="43" spans="3:53" ht="14.25" customHeight="1" x14ac:dyDescent="0.35">
      <c r="C43" s="248" t="s">
        <v>326</v>
      </c>
      <c r="D43" s="249">
        <v>173.15</v>
      </c>
      <c r="E43" s="250">
        <f t="shared" si="0"/>
        <v>-1.5969538531484417E-2</v>
      </c>
      <c r="G43" s="248" t="s">
        <v>326</v>
      </c>
      <c r="H43" s="136">
        <v>59.44</v>
      </c>
      <c r="I43" s="250">
        <f t="shared" si="1"/>
        <v>-6.6844919786097634E-3</v>
      </c>
      <c r="K43" s="248" t="s">
        <v>326</v>
      </c>
      <c r="L43" s="136">
        <v>34.549999999999997</v>
      </c>
      <c r="M43" s="250">
        <f t="shared" si="2"/>
        <v>-3.4646549315451303E-2</v>
      </c>
      <c r="O43" s="248" t="s">
        <v>326</v>
      </c>
      <c r="P43" s="136">
        <v>51.01</v>
      </c>
      <c r="Q43" s="250">
        <f t="shared" si="3"/>
        <v>7.7044646384827331E-3</v>
      </c>
      <c r="R43" s="251"/>
      <c r="S43" s="248" t="s">
        <v>326</v>
      </c>
      <c r="T43" s="136">
        <v>40.630000000000003</v>
      </c>
      <c r="U43" s="250">
        <f t="shared" si="4"/>
        <v>-9.9113082039911315E-2</v>
      </c>
      <c r="V43" s="251"/>
      <c r="W43" s="248" t="s">
        <v>326</v>
      </c>
      <c r="X43" s="136">
        <v>65.34</v>
      </c>
      <c r="Y43" s="250">
        <f t="shared" si="5"/>
        <v>-3.4574468085106447E-2</v>
      </c>
      <c r="Z43" s="251"/>
      <c r="AA43" s="248" t="s">
        <v>326</v>
      </c>
      <c r="AB43" s="136">
        <v>39.04</v>
      </c>
      <c r="AC43" s="250">
        <f t="shared" si="6"/>
        <v>-1.4390305478414578E-2</v>
      </c>
      <c r="AD43" s="251"/>
      <c r="AE43" s="248" t="s">
        <v>326</v>
      </c>
      <c r="AF43" s="136">
        <v>65.709999999999994</v>
      </c>
      <c r="AG43" s="250">
        <f t="shared" si="7"/>
        <v>2.4408848207475575E-3</v>
      </c>
      <c r="AH43" s="251"/>
      <c r="AI43" s="248" t="s">
        <v>326</v>
      </c>
      <c r="AJ43" s="136">
        <v>238.4</v>
      </c>
      <c r="AK43" s="250">
        <f t="shared" si="8"/>
        <v>-2.5939251945443775E-3</v>
      </c>
      <c r="AL43" s="251"/>
      <c r="AM43" s="248" t="s">
        <v>326</v>
      </c>
      <c r="AN43" s="136">
        <v>52.41</v>
      </c>
      <c r="AO43" s="250">
        <f t="shared" si="9"/>
        <v>-1.3551665725578865E-2</v>
      </c>
      <c r="AP43" s="251"/>
      <c r="AQ43" s="248" t="s">
        <v>326</v>
      </c>
      <c r="AR43" s="136">
        <v>223.25</v>
      </c>
      <c r="AS43" s="250">
        <f t="shared" si="10"/>
        <v>-3.748493908697359E-3</v>
      </c>
      <c r="AT43" s="251"/>
      <c r="AU43" s="248" t="s">
        <v>326</v>
      </c>
      <c r="AV43" s="136">
        <v>79.599999999999994</v>
      </c>
      <c r="AW43" s="250">
        <f t="shared" si="11"/>
        <v>-1.2896825396825462E-2</v>
      </c>
      <c r="AX43" s="251"/>
      <c r="AY43" s="248" t="s">
        <v>326</v>
      </c>
      <c r="AZ43" s="252">
        <v>4045.64</v>
      </c>
      <c r="BA43" s="250">
        <f t="shared" si="12"/>
        <v>1.9042629293407609E-2</v>
      </c>
    </row>
    <row r="44" spans="3:53" ht="14.25" customHeight="1" x14ac:dyDescent="0.35">
      <c r="C44" s="248" t="s">
        <v>327</v>
      </c>
      <c r="D44" s="249">
        <v>175.96</v>
      </c>
      <c r="E44" s="250">
        <f t="shared" si="0"/>
        <v>-1.8152938506920124E-3</v>
      </c>
      <c r="G44" s="248" t="s">
        <v>327</v>
      </c>
      <c r="H44" s="136">
        <v>59.84</v>
      </c>
      <c r="I44" s="250">
        <f t="shared" si="1"/>
        <v>-4.6573519627410853E-3</v>
      </c>
      <c r="K44" s="248" t="s">
        <v>327</v>
      </c>
      <c r="L44" s="136">
        <v>35.79</v>
      </c>
      <c r="M44" s="250">
        <f t="shared" si="2"/>
        <v>3.364171572750152E-3</v>
      </c>
      <c r="O44" s="248" t="s">
        <v>327</v>
      </c>
      <c r="P44" s="136">
        <v>50.62</v>
      </c>
      <c r="Q44" s="250">
        <f t="shared" si="3"/>
        <v>-2.8220387790362955E-2</v>
      </c>
      <c r="R44" s="251"/>
      <c r="S44" s="248" t="s">
        <v>327</v>
      </c>
      <c r="T44" s="136">
        <v>45.1</v>
      </c>
      <c r="U44" s="250">
        <f t="shared" si="4"/>
        <v>-1.3992129427197186E-2</v>
      </c>
      <c r="V44" s="251"/>
      <c r="W44" s="248" t="s">
        <v>327</v>
      </c>
      <c r="X44" s="136">
        <v>67.680000000000007</v>
      </c>
      <c r="Y44" s="250">
        <f t="shared" si="5"/>
        <v>-1.0236911377595637E-2</v>
      </c>
      <c r="Z44" s="251"/>
      <c r="AA44" s="248" t="s">
        <v>327</v>
      </c>
      <c r="AB44" s="136">
        <v>39.61</v>
      </c>
      <c r="AC44" s="250">
        <f t="shared" si="6"/>
        <v>-9.7500000000000364E-3</v>
      </c>
      <c r="AD44" s="251"/>
      <c r="AE44" s="248" t="s">
        <v>327</v>
      </c>
      <c r="AF44" s="136">
        <v>65.55</v>
      </c>
      <c r="AG44" s="250">
        <f t="shared" si="7"/>
        <v>-1.9446522064323069E-2</v>
      </c>
      <c r="AH44" s="251"/>
      <c r="AI44" s="248" t="s">
        <v>327</v>
      </c>
      <c r="AJ44" s="136">
        <v>239.02</v>
      </c>
      <c r="AK44" s="250">
        <f t="shared" si="8"/>
        <v>-6.9383854750924012E-3</v>
      </c>
      <c r="AL44" s="251"/>
      <c r="AM44" s="248" t="s">
        <v>327</v>
      </c>
      <c r="AN44" s="136">
        <v>53.13</v>
      </c>
      <c r="AO44" s="250">
        <f t="shared" si="9"/>
        <v>1.489971346704877E-2</v>
      </c>
      <c r="AP44" s="251"/>
      <c r="AQ44" s="248" t="s">
        <v>327</v>
      </c>
      <c r="AR44" s="136">
        <v>224.09</v>
      </c>
      <c r="AS44" s="250">
        <f t="shared" si="10"/>
        <v>-1.1948853615520338E-2</v>
      </c>
      <c r="AT44" s="251"/>
      <c r="AU44" s="248" t="s">
        <v>327</v>
      </c>
      <c r="AV44" s="136">
        <v>80.64</v>
      </c>
      <c r="AW44" s="250">
        <f t="shared" si="11"/>
        <v>5.0410316529894583E-2</v>
      </c>
      <c r="AX44" s="251"/>
      <c r="AY44" s="248" t="s">
        <v>327</v>
      </c>
      <c r="AZ44" s="252">
        <v>3970.04</v>
      </c>
      <c r="BA44" s="250">
        <f t="shared" si="12"/>
        <v>-2.6733903885425514E-2</v>
      </c>
    </row>
    <row r="45" spans="3:53" ht="14.25" customHeight="1" x14ac:dyDescent="0.35">
      <c r="C45" s="253">
        <v>45262</v>
      </c>
      <c r="D45" s="249">
        <v>176.28</v>
      </c>
      <c r="E45" s="250">
        <f t="shared" si="0"/>
        <v>4.54029511918419E-4</v>
      </c>
      <c r="G45" s="253">
        <v>45262</v>
      </c>
      <c r="H45" s="136">
        <v>60.12</v>
      </c>
      <c r="I45" s="250">
        <f t="shared" si="1"/>
        <v>8.3864475008386119E-3</v>
      </c>
      <c r="K45" s="253">
        <v>45262</v>
      </c>
      <c r="L45" s="136">
        <v>35.67</v>
      </c>
      <c r="M45" s="250">
        <f t="shared" si="2"/>
        <v>1.1054421768707412E-2</v>
      </c>
      <c r="O45" s="253">
        <v>45262</v>
      </c>
      <c r="P45" s="136">
        <v>52.09</v>
      </c>
      <c r="Q45" s="250">
        <f t="shared" si="3"/>
        <v>1.3424124513618851E-2</v>
      </c>
      <c r="R45" s="251"/>
      <c r="S45" s="253">
        <v>45262</v>
      </c>
      <c r="T45" s="136">
        <v>45.74</v>
      </c>
      <c r="U45" s="250">
        <f t="shared" si="4"/>
        <v>1.757508342602887E-2</v>
      </c>
      <c r="V45" s="251"/>
      <c r="W45" s="253">
        <v>45262</v>
      </c>
      <c r="X45" s="136">
        <v>68.38</v>
      </c>
      <c r="Y45" s="250">
        <f t="shared" si="5"/>
        <v>1.0193529324863393E-2</v>
      </c>
      <c r="Z45" s="251"/>
      <c r="AA45" s="253">
        <v>45262</v>
      </c>
      <c r="AB45" s="136">
        <v>40</v>
      </c>
      <c r="AC45" s="250">
        <f t="shared" si="6"/>
        <v>9.336361342417332E-3</v>
      </c>
      <c r="AD45" s="251"/>
      <c r="AE45" s="253">
        <v>45262</v>
      </c>
      <c r="AF45" s="136">
        <v>66.849999999999994</v>
      </c>
      <c r="AG45" s="250">
        <f t="shared" si="7"/>
        <v>2.0610687022900587E-2</v>
      </c>
      <c r="AH45" s="251"/>
      <c r="AI45" s="253">
        <v>45262</v>
      </c>
      <c r="AJ45" s="136">
        <v>240.69</v>
      </c>
      <c r="AK45" s="250">
        <f t="shared" si="8"/>
        <v>6.6499372647428334E-3</v>
      </c>
      <c r="AL45" s="251"/>
      <c r="AM45" s="253">
        <v>45262</v>
      </c>
      <c r="AN45" s="136">
        <v>52.35</v>
      </c>
      <c r="AO45" s="250">
        <f t="shared" si="9"/>
        <v>1.7888391989111518E-2</v>
      </c>
      <c r="AP45" s="251"/>
      <c r="AQ45" s="253">
        <v>45262</v>
      </c>
      <c r="AR45" s="136">
        <v>226.8</v>
      </c>
      <c r="AS45" s="250">
        <f t="shared" si="10"/>
        <v>-6.5703022339027584E-3</v>
      </c>
      <c r="AT45" s="251"/>
      <c r="AU45" s="253">
        <v>45262</v>
      </c>
      <c r="AV45" s="136">
        <v>76.77</v>
      </c>
      <c r="AW45" s="250">
        <f t="shared" si="11"/>
        <v>8.9367853857273971E-3</v>
      </c>
      <c r="AX45" s="251"/>
      <c r="AY45" s="253">
        <v>45262</v>
      </c>
      <c r="AZ45" s="252">
        <v>4079.09</v>
      </c>
      <c r="BA45" s="250">
        <f t="shared" si="12"/>
        <v>-2.7796384758682624E-3</v>
      </c>
    </row>
    <row r="46" spans="3:53" ht="14.25" customHeight="1" x14ac:dyDescent="0.35">
      <c r="C46" s="253">
        <v>45048</v>
      </c>
      <c r="D46" s="249">
        <v>176.2</v>
      </c>
      <c r="E46" s="250">
        <f t="shared" si="0"/>
        <v>4.1863765373699069E-2</v>
      </c>
      <c r="G46" s="253">
        <v>45048</v>
      </c>
      <c r="H46" s="136">
        <v>59.62</v>
      </c>
      <c r="I46" s="250">
        <f t="shared" si="1"/>
        <v>-3.5099448437239111E-3</v>
      </c>
      <c r="K46" s="253">
        <v>45048</v>
      </c>
      <c r="L46" s="136">
        <v>35.28</v>
      </c>
      <c r="M46" s="250">
        <f t="shared" si="2"/>
        <v>3.6984352773827833E-3</v>
      </c>
      <c r="O46" s="253">
        <v>45048</v>
      </c>
      <c r="P46" s="136">
        <v>51.4</v>
      </c>
      <c r="Q46" s="250">
        <f t="shared" si="3"/>
        <v>9.8231827111985304E-3</v>
      </c>
      <c r="R46" s="251"/>
      <c r="S46" s="253">
        <v>45048</v>
      </c>
      <c r="T46" s="136">
        <v>44.95</v>
      </c>
      <c r="U46" s="250">
        <f t="shared" si="4"/>
        <v>-6.4102564102563875E-3</v>
      </c>
      <c r="V46" s="251"/>
      <c r="W46" s="253">
        <v>45048</v>
      </c>
      <c r="X46" s="136">
        <v>67.69</v>
      </c>
      <c r="Y46" s="250">
        <f t="shared" si="5"/>
        <v>1.1832569146574823E-3</v>
      </c>
      <c r="Z46" s="251"/>
      <c r="AA46" s="253">
        <v>45048</v>
      </c>
      <c r="AB46" s="136">
        <v>39.630000000000003</v>
      </c>
      <c r="AC46" s="250">
        <f t="shared" si="6"/>
        <v>6.3484002031488629E-3</v>
      </c>
      <c r="AD46" s="251"/>
      <c r="AE46" s="253">
        <v>45048</v>
      </c>
      <c r="AF46" s="136">
        <v>65.5</v>
      </c>
      <c r="AG46" s="250">
        <f t="shared" si="7"/>
        <v>-6.2206038537399033E-3</v>
      </c>
      <c r="AH46" s="251"/>
      <c r="AI46" s="253">
        <v>45048</v>
      </c>
      <c r="AJ46" s="136">
        <v>239.1</v>
      </c>
      <c r="AK46" s="250">
        <f t="shared" si="8"/>
        <v>1.193499238191964E-2</v>
      </c>
      <c r="AL46" s="251"/>
      <c r="AM46" s="253">
        <v>45048</v>
      </c>
      <c r="AN46" s="136">
        <v>51.43</v>
      </c>
      <c r="AO46" s="250">
        <f t="shared" si="9"/>
        <v>1.0809748427672794E-2</v>
      </c>
      <c r="AP46" s="251"/>
      <c r="AQ46" s="253">
        <v>45048</v>
      </c>
      <c r="AR46" s="136">
        <v>228.3</v>
      </c>
      <c r="AS46" s="250">
        <f t="shared" si="10"/>
        <v>-1.0917598128411643E-2</v>
      </c>
      <c r="AT46" s="251"/>
      <c r="AU46" s="253">
        <v>45048</v>
      </c>
      <c r="AV46" s="136">
        <v>76.09</v>
      </c>
      <c r="AW46" s="250">
        <f t="shared" si="11"/>
        <v>8.0816110227874827E-3</v>
      </c>
      <c r="AX46" s="251"/>
      <c r="AY46" s="253">
        <v>45048</v>
      </c>
      <c r="AZ46" s="252">
        <v>4090.46</v>
      </c>
      <c r="BA46" s="250">
        <f t="shared" si="12"/>
        <v>-1.1125401307391702E-2</v>
      </c>
    </row>
    <row r="47" spans="3:53" ht="14.25" customHeight="1" x14ac:dyDescent="0.35">
      <c r="C47" s="248" t="s">
        <v>328</v>
      </c>
      <c r="D47" s="249">
        <v>169.12</v>
      </c>
      <c r="E47" s="250">
        <f t="shared" si="0"/>
        <v>-2.9477655936800407E-3</v>
      </c>
      <c r="G47" s="248" t="s">
        <v>328</v>
      </c>
      <c r="H47" s="136">
        <v>59.83</v>
      </c>
      <c r="I47" s="250">
        <f t="shared" si="1"/>
        <v>-1.0910894362704648E-2</v>
      </c>
      <c r="K47" s="248" t="s">
        <v>328</v>
      </c>
      <c r="L47" s="136">
        <v>35.15</v>
      </c>
      <c r="M47" s="250">
        <f t="shared" si="2"/>
        <v>1.2968299711815456E-2</v>
      </c>
      <c r="O47" s="248" t="s">
        <v>328</v>
      </c>
      <c r="P47" s="136">
        <v>50.9</v>
      </c>
      <c r="Q47" s="250">
        <f t="shared" si="3"/>
        <v>-9.7276264591439343E-3</v>
      </c>
      <c r="R47" s="251"/>
      <c r="S47" s="248" t="s">
        <v>328</v>
      </c>
      <c r="T47" s="136">
        <v>45.24</v>
      </c>
      <c r="U47" s="250">
        <f t="shared" si="4"/>
        <v>7.7968367119625182E-3</v>
      </c>
      <c r="V47" s="251"/>
      <c r="W47" s="248" t="s">
        <v>328</v>
      </c>
      <c r="X47" s="136">
        <v>67.61</v>
      </c>
      <c r="Y47" s="250">
        <f t="shared" si="5"/>
        <v>1.4792899408289095E-4</v>
      </c>
      <c r="Z47" s="251"/>
      <c r="AA47" s="248" t="s">
        <v>328</v>
      </c>
      <c r="AB47" s="136">
        <v>39.380000000000003</v>
      </c>
      <c r="AC47" s="250">
        <f t="shared" si="6"/>
        <v>-7.8105316200552943E-3</v>
      </c>
      <c r="AD47" s="251"/>
      <c r="AE47" s="248" t="s">
        <v>328</v>
      </c>
      <c r="AF47" s="136">
        <v>65.91</v>
      </c>
      <c r="AG47" s="250">
        <f t="shared" si="7"/>
        <v>1.838689740420274E-2</v>
      </c>
      <c r="AH47" s="251"/>
      <c r="AI47" s="248" t="s">
        <v>328</v>
      </c>
      <c r="AJ47" s="136">
        <v>236.28</v>
      </c>
      <c r="AK47" s="250">
        <f t="shared" si="8"/>
        <v>8.0087767416346711E-2</v>
      </c>
      <c r="AL47" s="251"/>
      <c r="AM47" s="248" t="s">
        <v>328</v>
      </c>
      <c r="AN47" s="136">
        <v>50.88</v>
      </c>
      <c r="AO47" s="250">
        <f t="shared" si="9"/>
        <v>-4.8894973596714797E-3</v>
      </c>
      <c r="AP47" s="251"/>
      <c r="AQ47" s="248" t="s">
        <v>328</v>
      </c>
      <c r="AR47" s="136">
        <v>230.82</v>
      </c>
      <c r="AS47" s="250">
        <f t="shared" si="10"/>
        <v>8.8727654180689175E-3</v>
      </c>
      <c r="AT47" s="251"/>
      <c r="AU47" s="248" t="s">
        <v>328</v>
      </c>
      <c r="AV47" s="136">
        <v>75.48</v>
      </c>
      <c r="AW47" s="250">
        <f t="shared" si="11"/>
        <v>-3.0941070740788224E-2</v>
      </c>
      <c r="AX47" s="251"/>
      <c r="AY47" s="248" t="s">
        <v>328</v>
      </c>
      <c r="AZ47" s="252">
        <v>4136.4799999999996</v>
      </c>
      <c r="BA47" s="250">
        <f t="shared" si="12"/>
        <v>1.6194331983805599E-2</v>
      </c>
    </row>
    <row r="48" spans="3:53" ht="14.25" customHeight="1" x14ac:dyDescent="0.35">
      <c r="C48" s="248" t="s">
        <v>329</v>
      </c>
      <c r="D48" s="249">
        <v>169.62</v>
      </c>
      <c r="E48" s="250">
        <f t="shared" si="0"/>
        <v>-1.5304921120790071E-3</v>
      </c>
      <c r="G48" s="248" t="s">
        <v>329</v>
      </c>
      <c r="H48" s="136">
        <v>60.49</v>
      </c>
      <c r="I48" s="250">
        <f t="shared" si="1"/>
        <v>6.8242343541944361E-3</v>
      </c>
      <c r="K48" s="248" t="s">
        <v>329</v>
      </c>
      <c r="L48" s="136">
        <v>34.700000000000003</v>
      </c>
      <c r="M48" s="250">
        <f t="shared" si="2"/>
        <v>-2.8810141169688386E-4</v>
      </c>
      <c r="O48" s="248" t="s">
        <v>329</v>
      </c>
      <c r="P48" s="136">
        <v>51.4</v>
      </c>
      <c r="Q48" s="250">
        <f t="shared" si="3"/>
        <v>2.8000000000000025E-2</v>
      </c>
      <c r="R48" s="251"/>
      <c r="S48" s="248" t="s">
        <v>329</v>
      </c>
      <c r="T48" s="136">
        <v>44.89</v>
      </c>
      <c r="U48" s="250">
        <f t="shared" si="4"/>
        <v>6.9537909376402585E-3</v>
      </c>
      <c r="V48" s="251"/>
      <c r="W48" s="248" t="s">
        <v>329</v>
      </c>
      <c r="X48" s="136">
        <v>67.599999999999994</v>
      </c>
      <c r="Y48" s="250">
        <f t="shared" si="5"/>
        <v>1.481481481481417E-3</v>
      </c>
      <c r="Z48" s="251"/>
      <c r="AA48" s="248" t="s">
        <v>329</v>
      </c>
      <c r="AB48" s="136">
        <v>39.69</v>
      </c>
      <c r="AC48" s="250">
        <f t="shared" si="6"/>
        <v>-4.7642928786360006E-3</v>
      </c>
      <c r="AD48" s="251"/>
      <c r="AE48" s="248" t="s">
        <v>329</v>
      </c>
      <c r="AF48" s="136">
        <v>64.72</v>
      </c>
      <c r="AG48" s="250">
        <f t="shared" si="7"/>
        <v>1.0618363522798102E-2</v>
      </c>
      <c r="AH48" s="251"/>
      <c r="AI48" s="248" t="s">
        <v>329</v>
      </c>
      <c r="AJ48" s="136">
        <v>218.76</v>
      </c>
      <c r="AK48" s="250">
        <f t="shared" si="8"/>
        <v>1.9765056871154041E-2</v>
      </c>
      <c r="AL48" s="251"/>
      <c r="AM48" s="248" t="s">
        <v>329</v>
      </c>
      <c r="AN48" s="136">
        <v>51.13</v>
      </c>
      <c r="AO48" s="250">
        <f t="shared" si="9"/>
        <v>-1.7486548808608671E-2</v>
      </c>
      <c r="AP48" s="251"/>
      <c r="AQ48" s="248" t="s">
        <v>329</v>
      </c>
      <c r="AR48" s="136">
        <v>228.79</v>
      </c>
      <c r="AS48" s="250">
        <f t="shared" si="10"/>
        <v>3.5811300253531408E-2</v>
      </c>
      <c r="AT48" s="251"/>
      <c r="AU48" s="248" t="s">
        <v>329</v>
      </c>
      <c r="AV48" s="136">
        <v>77.89</v>
      </c>
      <c r="AW48" s="250">
        <f t="shared" si="11"/>
        <v>5.551252259230699E-3</v>
      </c>
      <c r="AX48" s="251"/>
      <c r="AY48" s="248" t="s">
        <v>329</v>
      </c>
      <c r="AZ48" s="252">
        <v>4070.56</v>
      </c>
      <c r="BA48" s="250">
        <f t="shared" si="12"/>
        <v>2.4656334248768452E-2</v>
      </c>
    </row>
    <row r="49" spans="3:53" ht="14.25" customHeight="1" x14ac:dyDescent="0.35">
      <c r="C49" s="248" t="s">
        <v>330</v>
      </c>
      <c r="D49" s="249">
        <v>169.88</v>
      </c>
      <c r="E49" s="250">
        <f t="shared" si="0"/>
        <v>-3.0586624058434264E-2</v>
      </c>
      <c r="G49" s="248" t="s">
        <v>330</v>
      </c>
      <c r="H49" s="136">
        <v>60.08</v>
      </c>
      <c r="I49" s="250">
        <f t="shared" si="1"/>
        <v>-2.1976233110857946E-2</v>
      </c>
      <c r="K49" s="248" t="s">
        <v>330</v>
      </c>
      <c r="L49" s="136">
        <v>34.71</v>
      </c>
      <c r="M49" s="250">
        <f t="shared" si="2"/>
        <v>-2.7458671896889775E-2</v>
      </c>
      <c r="O49" s="248" t="s">
        <v>330</v>
      </c>
      <c r="P49" s="136">
        <v>50</v>
      </c>
      <c r="Q49" s="250">
        <f t="shared" si="3"/>
        <v>-2.0376175548589281E-2</v>
      </c>
      <c r="R49" s="251"/>
      <c r="S49" s="248" t="s">
        <v>330</v>
      </c>
      <c r="T49" s="136">
        <v>44.58</v>
      </c>
      <c r="U49" s="250">
        <f t="shared" si="4"/>
        <v>-3.2971800433839515E-2</v>
      </c>
      <c r="V49" s="251"/>
      <c r="W49" s="248" t="s">
        <v>330</v>
      </c>
      <c r="X49" s="136">
        <v>67.5</v>
      </c>
      <c r="Y49" s="250">
        <f t="shared" si="5"/>
        <v>-3.5714285714285698E-2</v>
      </c>
      <c r="Z49" s="251"/>
      <c r="AA49" s="248" t="s">
        <v>330</v>
      </c>
      <c r="AB49" s="136">
        <v>39.880000000000003</v>
      </c>
      <c r="AC49" s="250">
        <f t="shared" si="6"/>
        <v>-5.9877416313059872E-2</v>
      </c>
      <c r="AD49" s="251"/>
      <c r="AE49" s="248" t="s">
        <v>330</v>
      </c>
      <c r="AF49" s="136">
        <v>64.040000000000006</v>
      </c>
      <c r="AG49" s="250">
        <f t="shared" si="7"/>
        <v>-4.5034297643900878E-2</v>
      </c>
      <c r="AH49" s="251"/>
      <c r="AI49" s="248" t="s">
        <v>330</v>
      </c>
      <c r="AJ49" s="136">
        <v>214.52</v>
      </c>
      <c r="AK49" s="250">
        <f t="shared" si="8"/>
        <v>-5.3351573187414458E-2</v>
      </c>
      <c r="AL49" s="251"/>
      <c r="AM49" s="248" t="s">
        <v>330</v>
      </c>
      <c r="AN49" s="136">
        <v>52.04</v>
      </c>
      <c r="AO49" s="250">
        <f t="shared" si="9"/>
        <v>-5.3129548762736567E-2</v>
      </c>
      <c r="AP49" s="251"/>
      <c r="AQ49" s="248" t="s">
        <v>330</v>
      </c>
      <c r="AR49" s="136">
        <v>220.88</v>
      </c>
      <c r="AS49" s="250">
        <f t="shared" si="10"/>
        <v>-1.8311111111111167E-2</v>
      </c>
      <c r="AT49" s="251"/>
      <c r="AU49" s="248" t="s">
        <v>330</v>
      </c>
      <c r="AV49" s="136">
        <v>77.459999999999994</v>
      </c>
      <c r="AW49" s="250">
        <f t="shared" si="11"/>
        <v>-6.1204702460307958E-2</v>
      </c>
      <c r="AX49" s="251"/>
      <c r="AY49" s="248" t="s">
        <v>330</v>
      </c>
      <c r="AZ49" s="252">
        <v>3972.61</v>
      </c>
      <c r="BA49" s="250">
        <f t="shared" si="12"/>
        <v>-6.6215063927043127E-3</v>
      </c>
    </row>
    <row r="50" spans="3:53" ht="14.25" customHeight="1" x14ac:dyDescent="0.35">
      <c r="C50" s="253">
        <v>45139</v>
      </c>
      <c r="D50" s="249">
        <v>175.24</v>
      </c>
      <c r="E50" s="250">
        <f t="shared" si="0"/>
        <v>-3.2357813362782872E-2</v>
      </c>
      <c r="G50" s="253">
        <v>45139</v>
      </c>
      <c r="H50" s="136">
        <v>61.43</v>
      </c>
      <c r="I50" s="250">
        <f t="shared" si="1"/>
        <v>-3.1072555205047259E-2</v>
      </c>
      <c r="K50" s="253">
        <v>45139</v>
      </c>
      <c r="L50" s="136">
        <v>35.69</v>
      </c>
      <c r="M50" s="250">
        <f t="shared" si="2"/>
        <v>-1.5719801434087133E-2</v>
      </c>
      <c r="O50" s="253">
        <v>45139</v>
      </c>
      <c r="P50" s="136">
        <v>51.04</v>
      </c>
      <c r="Q50" s="250">
        <f t="shared" si="3"/>
        <v>-3.5142522452167313E-3</v>
      </c>
      <c r="R50" s="251"/>
      <c r="S50" s="253">
        <v>45139</v>
      </c>
      <c r="T50" s="136">
        <v>46.1</v>
      </c>
      <c r="U50" s="250">
        <f t="shared" si="4"/>
        <v>-1.7267107226604073E-2</v>
      </c>
      <c r="V50" s="251"/>
      <c r="W50" s="253">
        <v>45139</v>
      </c>
      <c r="X50" s="136">
        <v>70</v>
      </c>
      <c r="Y50" s="250">
        <f t="shared" si="5"/>
        <v>-3.3816425120772986E-2</v>
      </c>
      <c r="Z50" s="251"/>
      <c r="AA50" s="253">
        <v>45139</v>
      </c>
      <c r="AB50" s="136">
        <v>42.42</v>
      </c>
      <c r="AC50" s="250">
        <f t="shared" si="6"/>
        <v>-3.9915473115754718E-3</v>
      </c>
      <c r="AD50" s="251"/>
      <c r="AE50" s="253">
        <v>45139</v>
      </c>
      <c r="AF50" s="136">
        <v>67.06</v>
      </c>
      <c r="AG50" s="250">
        <f t="shared" si="7"/>
        <v>-1.4113496030579098E-2</v>
      </c>
      <c r="AH50" s="251"/>
      <c r="AI50" s="253">
        <v>45139</v>
      </c>
      <c r="AJ50" s="136">
        <v>226.61</v>
      </c>
      <c r="AK50" s="250">
        <f t="shared" si="8"/>
        <v>4.2543762463993495E-3</v>
      </c>
      <c r="AL50" s="251"/>
      <c r="AM50" s="253">
        <v>45139</v>
      </c>
      <c r="AN50" s="136">
        <v>54.96</v>
      </c>
      <c r="AO50" s="250">
        <f t="shared" si="9"/>
        <v>-3.5958603753727392E-2</v>
      </c>
      <c r="AP50" s="251"/>
      <c r="AQ50" s="253">
        <v>45139</v>
      </c>
      <c r="AR50" s="136">
        <v>225</v>
      </c>
      <c r="AS50" s="250">
        <f t="shared" si="10"/>
        <v>5.0273070998459568E-2</v>
      </c>
      <c r="AT50" s="251"/>
      <c r="AU50" s="253">
        <v>45139</v>
      </c>
      <c r="AV50" s="136">
        <v>82.51</v>
      </c>
      <c r="AW50" s="250">
        <f t="shared" si="11"/>
        <v>-4.0134946486737877E-2</v>
      </c>
      <c r="AX50" s="251"/>
      <c r="AY50" s="253">
        <v>45139</v>
      </c>
      <c r="AZ50" s="252">
        <v>3999.09</v>
      </c>
      <c r="BA50" s="250">
        <f t="shared" si="12"/>
        <v>2.6702917526726155E-2</v>
      </c>
    </row>
    <row r="51" spans="3:53" ht="14.25" customHeight="1" x14ac:dyDescent="0.35">
      <c r="C51" s="253">
        <v>44927</v>
      </c>
      <c r="D51" s="249">
        <v>181.1</v>
      </c>
      <c r="E51" s="250">
        <f t="shared" si="0"/>
        <v>2.4355142256171636E-3</v>
      </c>
      <c r="G51" s="253">
        <v>44927</v>
      </c>
      <c r="H51" s="136">
        <v>63.4</v>
      </c>
      <c r="I51" s="250">
        <f t="shared" si="1"/>
        <v>-3.3013677094796412E-3</v>
      </c>
      <c r="K51" s="253">
        <v>44927</v>
      </c>
      <c r="L51" s="136">
        <v>36.26</v>
      </c>
      <c r="M51" s="250">
        <f t="shared" si="2"/>
        <v>1.6825574873808202E-2</v>
      </c>
      <c r="O51" s="253">
        <v>44927</v>
      </c>
      <c r="P51" s="136">
        <v>51.22</v>
      </c>
      <c r="Q51" s="250">
        <f t="shared" si="3"/>
        <v>8.8635020681504528E-3</v>
      </c>
      <c r="R51" s="251"/>
      <c r="S51" s="253">
        <v>44927</v>
      </c>
      <c r="T51" s="136">
        <v>46.91</v>
      </c>
      <c r="U51" s="250">
        <f t="shared" si="4"/>
        <v>2.9857299670691617E-2</v>
      </c>
      <c r="V51" s="251"/>
      <c r="W51" s="253">
        <v>44927</v>
      </c>
      <c r="X51" s="136">
        <v>72.45</v>
      </c>
      <c r="Y51" s="250">
        <f t="shared" si="5"/>
        <v>1.6984839977540744E-2</v>
      </c>
      <c r="Z51" s="251"/>
      <c r="AA51" s="253">
        <v>44927</v>
      </c>
      <c r="AB51" s="136">
        <v>42.59</v>
      </c>
      <c r="AC51" s="250">
        <f t="shared" si="6"/>
        <v>4.6180299680668169E-2</v>
      </c>
      <c r="AD51" s="251"/>
      <c r="AE51" s="253">
        <v>44927</v>
      </c>
      <c r="AF51" s="136">
        <v>68.02</v>
      </c>
      <c r="AG51" s="250">
        <f t="shared" si="7"/>
        <v>2.0555138784696059E-2</v>
      </c>
      <c r="AH51" s="251"/>
      <c r="AI51" s="253">
        <v>44927</v>
      </c>
      <c r="AJ51" s="136">
        <v>225.65</v>
      </c>
      <c r="AK51" s="250">
        <f t="shared" si="8"/>
        <v>-2.5564624087748844E-2</v>
      </c>
      <c r="AL51" s="251"/>
      <c r="AM51" s="253">
        <v>44927</v>
      </c>
      <c r="AN51" s="136">
        <v>57.01</v>
      </c>
      <c r="AO51" s="250">
        <f t="shared" si="9"/>
        <v>4.5814977973568372E-3</v>
      </c>
      <c r="AP51" s="251"/>
      <c r="AQ51" s="253">
        <v>44927</v>
      </c>
      <c r="AR51" s="136">
        <v>214.23</v>
      </c>
      <c r="AS51" s="250">
        <f t="shared" si="10"/>
        <v>-7.559870550161818E-2</v>
      </c>
      <c r="AT51" s="251"/>
      <c r="AU51" s="253">
        <v>44927</v>
      </c>
      <c r="AV51" s="136">
        <v>85.96</v>
      </c>
      <c r="AW51" s="250">
        <f t="shared" si="11"/>
        <v>2.5163983303518211E-2</v>
      </c>
      <c r="AX51" s="251"/>
      <c r="AY51" s="253">
        <v>44927</v>
      </c>
      <c r="AZ51" s="252">
        <v>3895.08</v>
      </c>
      <c r="BA51" s="250">
        <f t="shared" si="12"/>
        <v>1.447584320875106E-2</v>
      </c>
    </row>
    <row r="52" spans="3:53" ht="14.25" customHeight="1" x14ac:dyDescent="0.35">
      <c r="C52" s="248" t="s">
        <v>331</v>
      </c>
      <c r="D52" s="249">
        <v>180.66</v>
      </c>
      <c r="E52" s="250">
        <f t="shared" si="0"/>
        <v>-8.7786678371556404E-3</v>
      </c>
      <c r="G52" s="248" t="s">
        <v>331</v>
      </c>
      <c r="H52" s="136">
        <v>63.61</v>
      </c>
      <c r="I52" s="250">
        <f t="shared" si="1"/>
        <v>-3.2905045440301262E-3</v>
      </c>
      <c r="K52" s="248" t="s">
        <v>331</v>
      </c>
      <c r="L52" s="136">
        <v>35.659999999999997</v>
      </c>
      <c r="M52" s="250">
        <f t="shared" si="2"/>
        <v>-1.9521583722848512E-2</v>
      </c>
      <c r="O52" s="248" t="s">
        <v>331</v>
      </c>
      <c r="P52" s="136">
        <v>50.77</v>
      </c>
      <c r="Q52" s="250">
        <f t="shared" si="3"/>
        <v>2.765158996642425E-3</v>
      </c>
      <c r="R52" s="251"/>
      <c r="S52" s="248" t="s">
        <v>331</v>
      </c>
      <c r="T52" s="136">
        <v>45.55</v>
      </c>
      <c r="U52" s="250">
        <f t="shared" si="4"/>
        <v>-1.7532325224633993E-3</v>
      </c>
      <c r="V52" s="251"/>
      <c r="W52" s="248" t="s">
        <v>331</v>
      </c>
      <c r="X52" s="136">
        <v>71.239999999999995</v>
      </c>
      <c r="Y52" s="250">
        <f t="shared" si="5"/>
        <v>-1.3022998060404745E-2</v>
      </c>
      <c r="Z52" s="251"/>
      <c r="AA52" s="248" t="s">
        <v>331</v>
      </c>
      <c r="AB52" s="136">
        <v>40.71</v>
      </c>
      <c r="AC52" s="250">
        <f t="shared" si="6"/>
        <v>4.689042448173586E-3</v>
      </c>
      <c r="AD52" s="251"/>
      <c r="AE52" s="248" t="s">
        <v>331</v>
      </c>
      <c r="AF52" s="136">
        <v>66.650000000000006</v>
      </c>
      <c r="AG52" s="250">
        <f t="shared" si="7"/>
        <v>-6.7064083457524237E-3</v>
      </c>
      <c r="AH52" s="251"/>
      <c r="AI52" s="248" t="s">
        <v>331</v>
      </c>
      <c r="AJ52" s="136">
        <v>231.57</v>
      </c>
      <c r="AK52" s="250">
        <f t="shared" si="8"/>
        <v>-1.8272002713244029E-2</v>
      </c>
      <c r="AL52" s="251"/>
      <c r="AM52" s="248" t="s">
        <v>331</v>
      </c>
      <c r="AN52" s="136">
        <v>56.75</v>
      </c>
      <c r="AO52" s="250">
        <f t="shared" si="9"/>
        <v>-9.2527932960894121E-3</v>
      </c>
      <c r="AP52" s="251"/>
      <c r="AQ52" s="248" t="s">
        <v>331</v>
      </c>
      <c r="AR52" s="136">
        <v>231.75</v>
      </c>
      <c r="AS52" s="250">
        <f t="shared" si="10"/>
        <v>-2.8398089583063779E-3</v>
      </c>
      <c r="AT52" s="251"/>
      <c r="AU52" s="248" t="s">
        <v>331</v>
      </c>
      <c r="AV52" s="136">
        <v>83.85</v>
      </c>
      <c r="AW52" s="250">
        <f t="shared" si="11"/>
        <v>-1.8264840182648401E-2</v>
      </c>
      <c r="AX52" s="251"/>
      <c r="AY52" s="248" t="s">
        <v>331</v>
      </c>
      <c r="AZ52" s="252">
        <v>3839.5</v>
      </c>
      <c r="BA52" s="250">
        <f t="shared" si="12"/>
        <v>-1.3836798601755129E-3</v>
      </c>
    </row>
    <row r="53" spans="3:53" ht="14.25" customHeight="1" x14ac:dyDescent="0.35">
      <c r="C53" s="248" t="s">
        <v>332</v>
      </c>
      <c r="D53" s="249">
        <v>182.26</v>
      </c>
      <c r="E53" s="250">
        <f t="shared" si="0"/>
        <v>1.0646556504380511E-2</v>
      </c>
      <c r="G53" s="248" t="s">
        <v>332</v>
      </c>
      <c r="H53" s="136">
        <v>63.82</v>
      </c>
      <c r="I53" s="250">
        <f t="shared" si="1"/>
        <v>1.7051792828685297E-2</v>
      </c>
      <c r="K53" s="248" t="s">
        <v>332</v>
      </c>
      <c r="L53" s="136">
        <v>36.369999999999997</v>
      </c>
      <c r="M53" s="250">
        <f t="shared" si="2"/>
        <v>8.3171610756860304E-3</v>
      </c>
      <c r="O53" s="248" t="s">
        <v>332</v>
      </c>
      <c r="P53" s="136">
        <v>50.63</v>
      </c>
      <c r="Q53" s="250">
        <f t="shared" si="3"/>
        <v>4.7628497717802087E-3</v>
      </c>
      <c r="R53" s="251"/>
      <c r="S53" s="248" t="s">
        <v>332</v>
      </c>
      <c r="T53" s="136">
        <v>45.63</v>
      </c>
      <c r="U53" s="250">
        <f t="shared" si="4"/>
        <v>-6.5703022339014261E-4</v>
      </c>
      <c r="V53" s="251"/>
      <c r="W53" s="248" t="s">
        <v>332</v>
      </c>
      <c r="X53" s="136">
        <v>72.180000000000007</v>
      </c>
      <c r="Y53" s="250">
        <f t="shared" si="5"/>
        <v>1.2484219385608064E-2</v>
      </c>
      <c r="Z53" s="251"/>
      <c r="AA53" s="248" t="s">
        <v>332</v>
      </c>
      <c r="AB53" s="136">
        <v>40.520000000000003</v>
      </c>
      <c r="AC53" s="250">
        <f t="shared" si="6"/>
        <v>1.503006012024044E-2</v>
      </c>
      <c r="AD53" s="251"/>
      <c r="AE53" s="248" t="s">
        <v>332</v>
      </c>
      <c r="AF53" s="136">
        <v>67.099999999999994</v>
      </c>
      <c r="AG53" s="250">
        <f t="shared" si="7"/>
        <v>1.4207980652962471E-2</v>
      </c>
      <c r="AH53" s="251"/>
      <c r="AI53" s="248" t="s">
        <v>332</v>
      </c>
      <c r="AJ53" s="136">
        <v>235.88</v>
      </c>
      <c r="AK53" s="250">
        <f t="shared" si="8"/>
        <v>3.7446808510637197E-3</v>
      </c>
      <c r="AL53" s="251"/>
      <c r="AM53" s="248" t="s">
        <v>332</v>
      </c>
      <c r="AN53" s="136">
        <v>57.28</v>
      </c>
      <c r="AO53" s="250">
        <f t="shared" si="9"/>
        <v>3.8555906063793E-3</v>
      </c>
      <c r="AP53" s="251"/>
      <c r="AQ53" s="248" t="s">
        <v>332</v>
      </c>
      <c r="AR53" s="136">
        <v>232.41</v>
      </c>
      <c r="AS53" s="250">
        <f t="shared" si="10"/>
        <v>4.5383817427384621E-3</v>
      </c>
      <c r="AT53" s="251"/>
      <c r="AU53" s="248" t="s">
        <v>332</v>
      </c>
      <c r="AV53" s="136">
        <v>85.41</v>
      </c>
      <c r="AW53" s="250">
        <f t="shared" si="11"/>
        <v>-1.748533302657318E-2</v>
      </c>
      <c r="AX53" s="251"/>
      <c r="AY53" s="248" t="s">
        <v>332</v>
      </c>
      <c r="AZ53" s="252">
        <v>3844.82</v>
      </c>
      <c r="BA53" s="250">
        <f t="shared" si="12"/>
        <v>-1.9572417946401854E-3</v>
      </c>
    </row>
    <row r="54" spans="3:53" ht="14.25" customHeight="1" x14ac:dyDescent="0.35">
      <c r="C54" s="253">
        <v>44877</v>
      </c>
      <c r="D54" s="249">
        <v>180.34</v>
      </c>
      <c r="E54" s="250">
        <f t="shared" si="0"/>
        <v>-1.5073730202075364E-2</v>
      </c>
      <c r="G54" s="253">
        <v>44877</v>
      </c>
      <c r="H54" s="136">
        <v>62.75</v>
      </c>
      <c r="I54" s="250">
        <f t="shared" si="1"/>
        <v>-6.1767500791891639E-3</v>
      </c>
      <c r="K54" s="253">
        <v>44877</v>
      </c>
      <c r="L54" s="136">
        <v>36.07</v>
      </c>
      <c r="M54" s="250">
        <f t="shared" si="2"/>
        <v>-4.9037701028209812E-2</v>
      </c>
      <c r="O54" s="253">
        <v>44877</v>
      </c>
      <c r="P54" s="136">
        <v>50.39</v>
      </c>
      <c r="Q54" s="250">
        <f t="shared" si="3"/>
        <v>7.3970411835264649E-3</v>
      </c>
      <c r="R54" s="251"/>
      <c r="S54" s="253">
        <v>44877</v>
      </c>
      <c r="T54" s="136">
        <v>45.66</v>
      </c>
      <c r="U54" s="250">
        <f t="shared" si="4"/>
        <v>-2.8923862186303828E-2</v>
      </c>
      <c r="V54" s="251"/>
      <c r="W54" s="253">
        <v>44877</v>
      </c>
      <c r="X54" s="136">
        <v>71.290000000000006</v>
      </c>
      <c r="Y54" s="250">
        <f t="shared" si="5"/>
        <v>-1.4514791263477989E-2</v>
      </c>
      <c r="Z54" s="251"/>
      <c r="AA54" s="253">
        <v>44877</v>
      </c>
      <c r="AB54" s="136">
        <v>39.92</v>
      </c>
      <c r="AC54" s="250">
        <f t="shared" si="6"/>
        <v>-5.0075112668990229E-4</v>
      </c>
      <c r="AD54" s="251"/>
      <c r="AE54" s="253">
        <v>44877</v>
      </c>
      <c r="AF54" s="136">
        <v>66.16</v>
      </c>
      <c r="AG54" s="250">
        <f t="shared" si="7"/>
        <v>-1.3420817178646072E-2</v>
      </c>
      <c r="AH54" s="251"/>
      <c r="AI54" s="253">
        <v>44877</v>
      </c>
      <c r="AJ54" s="136">
        <v>235</v>
      </c>
      <c r="AK54" s="250">
        <f t="shared" si="8"/>
        <v>-7.4756092410356301E-3</v>
      </c>
      <c r="AL54" s="251"/>
      <c r="AM54" s="253">
        <v>44877</v>
      </c>
      <c r="AN54" s="136">
        <v>57.06</v>
      </c>
      <c r="AO54" s="250">
        <f t="shared" si="9"/>
        <v>2.515271289974863E-2</v>
      </c>
      <c r="AP54" s="251"/>
      <c r="AQ54" s="253">
        <v>44877</v>
      </c>
      <c r="AR54" s="136">
        <v>231.36</v>
      </c>
      <c r="AS54" s="250">
        <f t="shared" si="10"/>
        <v>-4.4124938026772309E-2</v>
      </c>
      <c r="AT54" s="251"/>
      <c r="AU54" s="253">
        <v>44877</v>
      </c>
      <c r="AV54" s="136">
        <v>86.93</v>
      </c>
      <c r="AW54" s="250">
        <f t="shared" si="11"/>
        <v>1.2698042870456616E-2</v>
      </c>
      <c r="AX54" s="251"/>
      <c r="AY54" s="253">
        <v>44877</v>
      </c>
      <c r="AZ54" s="252">
        <v>3852.36</v>
      </c>
      <c r="BA54" s="250">
        <f t="shared" si="12"/>
        <v>-2.0846994952190667E-2</v>
      </c>
    </row>
    <row r="55" spans="3:53" ht="14.25" customHeight="1" x14ac:dyDescent="0.35">
      <c r="C55" s="253">
        <v>44663</v>
      </c>
      <c r="D55" s="249">
        <v>183.1</v>
      </c>
      <c r="E55" s="250">
        <f t="shared" si="0"/>
        <v>-1.3947977812483137E-2</v>
      </c>
      <c r="G55" s="253">
        <v>44663</v>
      </c>
      <c r="H55" s="136">
        <v>63.14</v>
      </c>
      <c r="I55" s="250">
        <f t="shared" si="1"/>
        <v>-1.8803418803418737E-2</v>
      </c>
      <c r="K55" s="253">
        <v>44663</v>
      </c>
      <c r="L55" s="136">
        <v>37.93</v>
      </c>
      <c r="M55" s="250">
        <f t="shared" si="2"/>
        <v>-2.0908621579762587E-2</v>
      </c>
      <c r="O55" s="253">
        <v>44663</v>
      </c>
      <c r="P55" s="136">
        <v>50.02</v>
      </c>
      <c r="Q55" s="250">
        <f t="shared" si="3"/>
        <v>-3.8446751249519462E-2</v>
      </c>
      <c r="R55" s="251"/>
      <c r="S55" s="253">
        <v>44663</v>
      </c>
      <c r="T55" s="136">
        <v>47.02</v>
      </c>
      <c r="U55" s="250">
        <f t="shared" si="4"/>
        <v>-1.3014273719563318E-2</v>
      </c>
      <c r="V55" s="251"/>
      <c r="W55" s="253">
        <v>44663</v>
      </c>
      <c r="X55" s="136">
        <v>72.34</v>
      </c>
      <c r="Y55" s="250">
        <f t="shared" si="5"/>
        <v>-2.0181498036028644E-2</v>
      </c>
      <c r="Z55" s="251"/>
      <c r="AA55" s="253">
        <v>44663</v>
      </c>
      <c r="AB55" s="136">
        <v>39.94</v>
      </c>
      <c r="AC55" s="250">
        <f t="shared" si="6"/>
        <v>2.761737383881524E-3</v>
      </c>
      <c r="AD55" s="251"/>
      <c r="AE55" s="253">
        <v>44663</v>
      </c>
      <c r="AF55" s="136">
        <v>67.06</v>
      </c>
      <c r="AG55" s="250">
        <f t="shared" si="7"/>
        <v>-1.8298931342409563E-2</v>
      </c>
      <c r="AH55" s="251"/>
      <c r="AI55" s="253">
        <v>44663</v>
      </c>
      <c r="AJ55" s="136">
        <v>236.77</v>
      </c>
      <c r="AK55" s="250">
        <f t="shared" si="8"/>
        <v>8.690836279981351E-3</v>
      </c>
      <c r="AL55" s="251"/>
      <c r="AM55" s="253">
        <v>44663</v>
      </c>
      <c r="AN55" s="136">
        <v>55.66</v>
      </c>
      <c r="AO55" s="250">
        <f t="shared" si="9"/>
        <v>2.883548983364137E-2</v>
      </c>
      <c r="AP55" s="251"/>
      <c r="AQ55" s="253">
        <v>44663</v>
      </c>
      <c r="AR55" s="136">
        <v>242.04</v>
      </c>
      <c r="AS55" s="250">
        <f t="shared" si="10"/>
        <v>-7.2821298601800533E-2</v>
      </c>
      <c r="AT55" s="251"/>
      <c r="AU55" s="253">
        <v>44663</v>
      </c>
      <c r="AV55" s="136">
        <v>85.84</v>
      </c>
      <c r="AW55" s="250">
        <f t="shared" si="11"/>
        <v>-7.8594544613961315E-3</v>
      </c>
      <c r="AX55" s="251"/>
      <c r="AY55" s="253">
        <v>44663</v>
      </c>
      <c r="AZ55" s="252">
        <v>3934.38</v>
      </c>
      <c r="BA55" s="250">
        <f t="shared" si="12"/>
        <v>-3.3725470933516632E-2</v>
      </c>
    </row>
    <row r="56" spans="3:53" ht="14.25" customHeight="1" x14ac:dyDescent="0.35">
      <c r="C56" s="248" t="s">
        <v>333</v>
      </c>
      <c r="D56" s="249">
        <v>185.69</v>
      </c>
      <c r="E56" s="250">
        <f t="shared" si="0"/>
        <v>8.5818260822334569E-3</v>
      </c>
      <c r="G56" s="248" t="s">
        <v>333</v>
      </c>
      <c r="H56" s="136">
        <v>64.349999999999994</v>
      </c>
      <c r="I56" s="250">
        <f t="shared" si="1"/>
        <v>2.6479502312968473E-2</v>
      </c>
      <c r="K56" s="248" t="s">
        <v>333</v>
      </c>
      <c r="L56" s="136">
        <v>38.74</v>
      </c>
      <c r="M56" s="250">
        <f t="shared" si="2"/>
        <v>1.2810457516339913E-2</v>
      </c>
      <c r="O56" s="248" t="s">
        <v>333</v>
      </c>
      <c r="P56" s="136">
        <v>52.02</v>
      </c>
      <c r="Q56" s="250">
        <f t="shared" si="3"/>
        <v>6.384213580963527E-3</v>
      </c>
      <c r="R56" s="251"/>
      <c r="S56" s="248" t="s">
        <v>333</v>
      </c>
      <c r="T56" s="136">
        <v>47.64</v>
      </c>
      <c r="U56" s="250">
        <f t="shared" si="4"/>
        <v>-3.5822707953855448E-2</v>
      </c>
      <c r="V56" s="251"/>
      <c r="W56" s="248" t="s">
        <v>333</v>
      </c>
      <c r="X56" s="136">
        <v>73.83</v>
      </c>
      <c r="Y56" s="250">
        <f t="shared" si="5"/>
        <v>1.4148351648351598E-2</v>
      </c>
      <c r="Z56" s="251"/>
      <c r="AA56" s="248" t="s">
        <v>333</v>
      </c>
      <c r="AB56" s="136">
        <v>39.83</v>
      </c>
      <c r="AC56" s="250">
        <f t="shared" si="6"/>
        <v>2.3907455012853518E-2</v>
      </c>
      <c r="AD56" s="251"/>
      <c r="AE56" s="248" t="s">
        <v>333</v>
      </c>
      <c r="AF56" s="136">
        <v>68.31</v>
      </c>
      <c r="AG56" s="250">
        <f t="shared" si="7"/>
        <v>2.4291497975708509E-2</v>
      </c>
      <c r="AH56" s="251"/>
      <c r="AI56" s="248" t="s">
        <v>333</v>
      </c>
      <c r="AJ56" s="136">
        <v>234.73</v>
      </c>
      <c r="AK56" s="250">
        <f t="shared" si="8"/>
        <v>4.149555099247193E-3</v>
      </c>
      <c r="AL56" s="251"/>
      <c r="AM56" s="248" t="s">
        <v>333</v>
      </c>
      <c r="AN56" s="136">
        <v>54.1</v>
      </c>
      <c r="AO56" s="250">
        <f t="shared" si="9"/>
        <v>1.9984917043740724E-2</v>
      </c>
      <c r="AP56" s="251"/>
      <c r="AQ56" s="248" t="s">
        <v>333</v>
      </c>
      <c r="AR56" s="136">
        <v>261.05</v>
      </c>
      <c r="AS56" s="250">
        <f t="shared" si="10"/>
        <v>1.3825779641927882E-2</v>
      </c>
      <c r="AT56" s="251"/>
      <c r="AU56" s="248" t="s">
        <v>333</v>
      </c>
      <c r="AV56" s="136">
        <v>86.52</v>
      </c>
      <c r="AW56" s="250">
        <f t="shared" si="11"/>
        <v>4.2786549355188663E-2</v>
      </c>
      <c r="AX56" s="251"/>
      <c r="AY56" s="248" t="s">
        <v>333</v>
      </c>
      <c r="AZ56" s="252">
        <v>4071.7</v>
      </c>
      <c r="BA56" s="250">
        <f t="shared" si="12"/>
        <v>1.1321073390758274E-2</v>
      </c>
    </row>
    <row r="57" spans="3:53" ht="14.25" customHeight="1" x14ac:dyDescent="0.35">
      <c r="C57" s="248" t="s">
        <v>334</v>
      </c>
      <c r="D57" s="249">
        <v>184.11</v>
      </c>
      <c r="E57" s="250">
        <f t="shared" si="0"/>
        <v>1.533116417581204E-2</v>
      </c>
      <c r="G57" s="248" t="s">
        <v>334</v>
      </c>
      <c r="H57" s="136">
        <v>62.69</v>
      </c>
      <c r="I57" s="250">
        <f t="shared" si="1"/>
        <v>2.5351651946352582E-2</v>
      </c>
      <c r="K57" s="248" t="s">
        <v>334</v>
      </c>
      <c r="L57" s="136">
        <v>38.25</v>
      </c>
      <c r="M57" s="250">
        <f t="shared" si="2"/>
        <v>2.2180652057723016E-2</v>
      </c>
      <c r="O57" s="248" t="s">
        <v>334</v>
      </c>
      <c r="P57" s="136">
        <v>51.69</v>
      </c>
      <c r="Q57" s="250">
        <f t="shared" si="3"/>
        <v>3.6910732196589802E-2</v>
      </c>
      <c r="R57" s="251"/>
      <c r="S57" s="248" t="s">
        <v>334</v>
      </c>
      <c r="T57" s="136">
        <v>49.41</v>
      </c>
      <c r="U57" s="250">
        <f t="shared" si="4"/>
        <v>1.5413070283600394E-2</v>
      </c>
      <c r="V57" s="251"/>
      <c r="W57" s="248" t="s">
        <v>334</v>
      </c>
      <c r="X57" s="136">
        <v>72.8</v>
      </c>
      <c r="Y57" s="250">
        <f t="shared" si="5"/>
        <v>3.1015436906953742E-2</v>
      </c>
      <c r="Z57" s="251"/>
      <c r="AA57" s="248" t="s">
        <v>334</v>
      </c>
      <c r="AB57" s="136">
        <v>38.9</v>
      </c>
      <c r="AC57" s="250">
        <f t="shared" si="6"/>
        <v>2.0997375328083878E-2</v>
      </c>
      <c r="AD57" s="251"/>
      <c r="AE57" s="248" t="s">
        <v>334</v>
      </c>
      <c r="AF57" s="136">
        <v>66.69</v>
      </c>
      <c r="AG57" s="250">
        <f t="shared" si="7"/>
        <v>2.6157870441606557E-2</v>
      </c>
      <c r="AH57" s="251"/>
      <c r="AI57" s="248" t="s">
        <v>334</v>
      </c>
      <c r="AJ57" s="136">
        <v>233.76</v>
      </c>
      <c r="AK57" s="250">
        <f t="shared" si="8"/>
        <v>3.7964566404688815E-2</v>
      </c>
      <c r="AL57" s="251"/>
      <c r="AM57" s="248" t="s">
        <v>334</v>
      </c>
      <c r="AN57" s="136">
        <v>53.04</v>
      </c>
      <c r="AO57" s="250">
        <f t="shared" si="9"/>
        <v>2.8704422032583388E-2</v>
      </c>
      <c r="AP57" s="251"/>
      <c r="AQ57" s="248" t="s">
        <v>334</v>
      </c>
      <c r="AR57" s="136">
        <v>257.49</v>
      </c>
      <c r="AS57" s="250">
        <f t="shared" si="10"/>
        <v>3.9733494851605045E-2</v>
      </c>
      <c r="AT57" s="251"/>
      <c r="AU57" s="248" t="s">
        <v>334</v>
      </c>
      <c r="AV57" s="136">
        <v>82.97</v>
      </c>
      <c r="AW57" s="250">
        <f t="shared" si="11"/>
        <v>2.3941749969147219E-2</v>
      </c>
      <c r="AX57" s="251"/>
      <c r="AY57" s="248" t="s">
        <v>334</v>
      </c>
      <c r="AZ57" s="252">
        <v>4026.12</v>
      </c>
      <c r="BA57" s="250">
        <f t="shared" si="12"/>
        <v>1.5327815521493759E-2</v>
      </c>
    </row>
    <row r="58" spans="3:53" ht="14.25" customHeight="1" x14ac:dyDescent="0.35">
      <c r="C58" s="248" t="s">
        <v>335</v>
      </c>
      <c r="D58" s="249">
        <v>181.33</v>
      </c>
      <c r="E58" s="250">
        <f t="shared" si="0"/>
        <v>1.8421791631564099E-2</v>
      </c>
      <c r="G58" s="248" t="s">
        <v>335</v>
      </c>
      <c r="H58" s="136">
        <v>61.14</v>
      </c>
      <c r="I58" s="250">
        <f t="shared" si="1"/>
        <v>-2.9354207436399493E-3</v>
      </c>
      <c r="K58" s="248" t="s">
        <v>335</v>
      </c>
      <c r="L58" s="136">
        <v>37.42</v>
      </c>
      <c r="M58" s="250">
        <f t="shared" si="2"/>
        <v>2.1424745581146709E-3</v>
      </c>
      <c r="O58" s="248" t="s">
        <v>335</v>
      </c>
      <c r="P58" s="136">
        <v>49.85</v>
      </c>
      <c r="Q58" s="250">
        <f t="shared" si="3"/>
        <v>1.6102731349368016E-2</v>
      </c>
      <c r="R58" s="251"/>
      <c r="S58" s="248" t="s">
        <v>335</v>
      </c>
      <c r="T58" s="136">
        <v>48.66</v>
      </c>
      <c r="U58" s="250">
        <f t="shared" si="4"/>
        <v>2.6582278481012578E-2</v>
      </c>
      <c r="V58" s="251"/>
      <c r="W58" s="248" t="s">
        <v>335</v>
      </c>
      <c r="X58" s="136">
        <v>70.61</v>
      </c>
      <c r="Y58" s="250">
        <f t="shared" si="5"/>
        <v>2.3630037692084604E-2</v>
      </c>
      <c r="Z58" s="251"/>
      <c r="AA58" s="248" t="s">
        <v>335</v>
      </c>
      <c r="AB58" s="136">
        <v>38.1</v>
      </c>
      <c r="AC58" s="250">
        <f t="shared" si="6"/>
        <v>3.0008110300081103E-2</v>
      </c>
      <c r="AD58" s="251"/>
      <c r="AE58" s="248" t="s">
        <v>335</v>
      </c>
      <c r="AF58" s="136">
        <v>64.989999999999995</v>
      </c>
      <c r="AG58" s="250">
        <f t="shared" si="7"/>
        <v>2.9320987654319897E-3</v>
      </c>
      <c r="AH58" s="251"/>
      <c r="AI58" s="248" t="s">
        <v>335</v>
      </c>
      <c r="AJ58" s="136">
        <v>225.21</v>
      </c>
      <c r="AK58" s="250">
        <f t="shared" si="8"/>
        <v>2.8919956140351033E-2</v>
      </c>
      <c r="AL58" s="251"/>
      <c r="AM58" s="248" t="s">
        <v>335</v>
      </c>
      <c r="AN58" s="136">
        <v>51.56</v>
      </c>
      <c r="AO58" s="250">
        <f t="shared" si="9"/>
        <v>5.2889524198489024E-2</v>
      </c>
      <c r="AP58" s="251"/>
      <c r="AQ58" s="248" t="s">
        <v>335</v>
      </c>
      <c r="AR58" s="136">
        <v>247.65</v>
      </c>
      <c r="AS58" s="250">
        <f t="shared" si="10"/>
        <v>2.6315789473685403E-3</v>
      </c>
      <c r="AT58" s="251"/>
      <c r="AU58" s="248" t="s">
        <v>335</v>
      </c>
      <c r="AV58" s="136">
        <v>81.03</v>
      </c>
      <c r="AW58" s="250">
        <f t="shared" si="11"/>
        <v>4.8932038834951452E-2</v>
      </c>
      <c r="AX58" s="251"/>
      <c r="AY58" s="248" t="s">
        <v>335</v>
      </c>
      <c r="AZ58" s="252">
        <v>3965.34</v>
      </c>
      <c r="BA58" s="250">
        <f t="shared" si="12"/>
        <v>-6.9097129175818006E-3</v>
      </c>
    </row>
    <row r="59" spans="3:53" ht="14.25" customHeight="1" x14ac:dyDescent="0.35">
      <c r="C59" s="253">
        <v>44723</v>
      </c>
      <c r="D59" s="249">
        <v>178.05</v>
      </c>
      <c r="E59" s="250">
        <f t="shared" si="0"/>
        <v>-4.0832307864413497E-3</v>
      </c>
      <c r="G59" s="253">
        <v>44723</v>
      </c>
      <c r="H59" s="136">
        <v>61.32</v>
      </c>
      <c r="I59" s="250">
        <f t="shared" si="1"/>
        <v>3.4762065474181592E-2</v>
      </c>
      <c r="K59" s="253">
        <v>44723</v>
      </c>
      <c r="L59" s="136">
        <v>37.340000000000003</v>
      </c>
      <c r="M59" s="250">
        <f t="shared" si="2"/>
        <v>9.7349918875069275E-3</v>
      </c>
      <c r="O59" s="253">
        <v>44723</v>
      </c>
      <c r="P59" s="136">
        <v>49.06</v>
      </c>
      <c r="Q59" s="250">
        <f t="shared" si="3"/>
        <v>1.8378599142332419E-3</v>
      </c>
      <c r="R59" s="251"/>
      <c r="S59" s="253">
        <v>44723</v>
      </c>
      <c r="T59" s="136">
        <v>47.4</v>
      </c>
      <c r="U59" s="250">
        <f t="shared" si="4"/>
        <v>2.909248805905329E-2</v>
      </c>
      <c r="V59" s="251"/>
      <c r="W59" s="253">
        <v>44723</v>
      </c>
      <c r="X59" s="136">
        <v>68.98</v>
      </c>
      <c r="Y59" s="250">
        <f t="shared" si="5"/>
        <v>-1.2596621815058606E-2</v>
      </c>
      <c r="Z59" s="251"/>
      <c r="AA59" s="253">
        <v>44723</v>
      </c>
      <c r="AB59" s="136">
        <v>36.99</v>
      </c>
      <c r="AC59" s="250">
        <f t="shared" si="6"/>
        <v>-2.7091004734350332E-2</v>
      </c>
      <c r="AD59" s="251"/>
      <c r="AE59" s="253">
        <v>44723</v>
      </c>
      <c r="AF59" s="136">
        <v>64.8</v>
      </c>
      <c r="AG59" s="250">
        <f t="shared" si="7"/>
        <v>2.499209111040801E-2</v>
      </c>
      <c r="AH59" s="251"/>
      <c r="AI59" s="253">
        <v>44723</v>
      </c>
      <c r="AJ59" s="136">
        <v>218.88</v>
      </c>
      <c r="AK59" s="250">
        <f t="shared" si="8"/>
        <v>-4.4317338339955437E-2</v>
      </c>
      <c r="AL59" s="251"/>
      <c r="AM59" s="253">
        <v>44723</v>
      </c>
      <c r="AN59" s="136">
        <v>48.97</v>
      </c>
      <c r="AO59" s="250">
        <f t="shared" si="9"/>
        <v>-3.659256344678341E-2</v>
      </c>
      <c r="AP59" s="251"/>
      <c r="AQ59" s="253">
        <v>44723</v>
      </c>
      <c r="AR59" s="136">
        <v>247</v>
      </c>
      <c r="AS59" s="250">
        <f t="shared" si="10"/>
        <v>8.8632928971121849E-3</v>
      </c>
      <c r="AT59" s="251"/>
      <c r="AU59" s="253">
        <v>44723</v>
      </c>
      <c r="AV59" s="136">
        <v>77.25</v>
      </c>
      <c r="AW59" s="250">
        <f t="shared" si="11"/>
        <v>-2.2894004553503655E-2</v>
      </c>
      <c r="AX59" s="251"/>
      <c r="AY59" s="253">
        <v>44723</v>
      </c>
      <c r="AZ59" s="252">
        <v>3992.93</v>
      </c>
      <c r="BA59" s="250">
        <f t="shared" si="12"/>
        <v>5.8978133163596791E-2</v>
      </c>
    </row>
    <row r="60" spans="3:53" ht="14.25" customHeight="1" x14ac:dyDescent="0.35">
      <c r="C60" s="248" t="s">
        <v>336</v>
      </c>
      <c r="D60" s="249">
        <v>178.78</v>
      </c>
      <c r="E60" s="250">
        <f t="shared" si="0"/>
        <v>-1.8932118751028848E-2</v>
      </c>
      <c r="G60" s="248" t="s">
        <v>336</v>
      </c>
      <c r="H60" s="136">
        <v>59.26</v>
      </c>
      <c r="I60" s="250">
        <f t="shared" si="1"/>
        <v>-2.4687294272547677E-2</v>
      </c>
      <c r="K60" s="248" t="s">
        <v>336</v>
      </c>
      <c r="L60" s="136">
        <v>36.979999999999997</v>
      </c>
      <c r="M60" s="250">
        <f t="shared" si="2"/>
        <v>-6.4981036662452585E-2</v>
      </c>
      <c r="O60" s="248" t="s">
        <v>336</v>
      </c>
      <c r="P60" s="136">
        <v>48.97</v>
      </c>
      <c r="Q60" s="250">
        <f t="shared" si="3"/>
        <v>4.7038700021381219E-2</v>
      </c>
      <c r="R60" s="251"/>
      <c r="S60" s="248" t="s">
        <v>336</v>
      </c>
      <c r="T60" s="136">
        <v>46.06</v>
      </c>
      <c r="U60" s="250">
        <f t="shared" si="4"/>
        <v>-1.916524701873934E-2</v>
      </c>
      <c r="V60" s="251"/>
      <c r="W60" s="248" t="s">
        <v>336</v>
      </c>
      <c r="X60" s="136">
        <v>69.86</v>
      </c>
      <c r="Y60" s="250">
        <f t="shared" si="5"/>
        <v>-9.0246125797630028E-2</v>
      </c>
      <c r="Z60" s="251"/>
      <c r="AA60" s="248" t="s">
        <v>336</v>
      </c>
      <c r="AB60" s="136">
        <v>38.020000000000003</v>
      </c>
      <c r="AC60" s="250">
        <f t="shared" si="6"/>
        <v>-2.3626091422701445E-2</v>
      </c>
      <c r="AD60" s="251"/>
      <c r="AE60" s="248" t="s">
        <v>336</v>
      </c>
      <c r="AF60" s="136">
        <v>63.22</v>
      </c>
      <c r="AG60" s="250">
        <f t="shared" si="7"/>
        <v>2.4635332252836317E-2</v>
      </c>
      <c r="AH60" s="251"/>
      <c r="AI60" s="248" t="s">
        <v>336</v>
      </c>
      <c r="AJ60" s="136">
        <v>229.03</v>
      </c>
      <c r="AK60" s="250">
        <f t="shared" si="8"/>
        <v>-4.5549258209701682E-2</v>
      </c>
      <c r="AL60" s="251"/>
      <c r="AM60" s="248" t="s">
        <v>336</v>
      </c>
      <c r="AN60" s="136">
        <v>50.83</v>
      </c>
      <c r="AO60" s="250">
        <f t="shared" si="9"/>
        <v>-3.6032619002465349E-2</v>
      </c>
      <c r="AP60" s="251"/>
      <c r="AQ60" s="248" t="s">
        <v>336</v>
      </c>
      <c r="AR60" s="136">
        <v>244.83</v>
      </c>
      <c r="AS60" s="250">
        <f t="shared" si="10"/>
        <v>-9.1464648508640112E-3</v>
      </c>
      <c r="AT60" s="251"/>
      <c r="AU60" s="248" t="s">
        <v>336</v>
      </c>
      <c r="AV60" s="136">
        <v>79.06</v>
      </c>
      <c r="AW60" s="250">
        <f t="shared" si="11"/>
        <v>-3.0771116832168599E-2</v>
      </c>
      <c r="AX60" s="251"/>
      <c r="AY60" s="248" t="s">
        <v>336</v>
      </c>
      <c r="AZ60" s="252">
        <v>3770.55</v>
      </c>
      <c r="BA60" s="250">
        <f t="shared" si="12"/>
        <v>-3.3455009664040025E-2</v>
      </c>
    </row>
    <row r="61" spans="3:53" ht="14.25" customHeight="1" x14ac:dyDescent="0.35">
      <c r="C61" s="248" t="s">
        <v>337</v>
      </c>
      <c r="D61" s="249">
        <v>182.23</v>
      </c>
      <c r="E61" s="250">
        <f t="shared" si="0"/>
        <v>5.298740321275841E-2</v>
      </c>
      <c r="G61" s="248" t="s">
        <v>337</v>
      </c>
      <c r="H61" s="136">
        <v>60.76</v>
      </c>
      <c r="I61" s="250">
        <f t="shared" si="1"/>
        <v>8.5775553967119222E-2</v>
      </c>
      <c r="K61" s="248" t="s">
        <v>337</v>
      </c>
      <c r="L61" s="136">
        <v>39.549999999999997</v>
      </c>
      <c r="M61" s="250">
        <f t="shared" si="2"/>
        <v>5.1302498670919627E-2</v>
      </c>
      <c r="O61" s="248" t="s">
        <v>337</v>
      </c>
      <c r="P61" s="136">
        <v>46.77</v>
      </c>
      <c r="Q61" s="250">
        <f t="shared" si="3"/>
        <v>6.7808219178082441E-2</v>
      </c>
      <c r="R61" s="251"/>
      <c r="S61" s="248" t="s">
        <v>337</v>
      </c>
      <c r="T61" s="136">
        <v>46.96</v>
      </c>
      <c r="U61" s="250">
        <f t="shared" si="4"/>
        <v>4.4251723371136364E-2</v>
      </c>
      <c r="V61" s="251"/>
      <c r="W61" s="248" t="s">
        <v>337</v>
      </c>
      <c r="X61" s="136">
        <v>76.790000000000006</v>
      </c>
      <c r="Y61" s="250">
        <f t="shared" si="5"/>
        <v>6.298449612403112E-2</v>
      </c>
      <c r="Z61" s="251"/>
      <c r="AA61" s="248" t="s">
        <v>337</v>
      </c>
      <c r="AB61" s="136">
        <v>38.94</v>
      </c>
      <c r="AC61" s="250">
        <f t="shared" si="6"/>
        <v>0.10593581368929272</v>
      </c>
      <c r="AD61" s="251"/>
      <c r="AE61" s="248" t="s">
        <v>337</v>
      </c>
      <c r="AF61" s="136">
        <v>61.7</v>
      </c>
      <c r="AG61" s="250">
        <f t="shared" si="7"/>
        <v>7.5850043591979111E-2</v>
      </c>
      <c r="AH61" s="251"/>
      <c r="AI61" s="248" t="s">
        <v>337</v>
      </c>
      <c r="AJ61" s="136">
        <v>239.96</v>
      </c>
      <c r="AK61" s="250">
        <f t="shared" si="8"/>
        <v>5.1441591446849566E-2</v>
      </c>
      <c r="AL61" s="251"/>
      <c r="AM61" s="248" t="s">
        <v>337</v>
      </c>
      <c r="AN61" s="136">
        <v>52.73</v>
      </c>
      <c r="AO61" s="250">
        <f t="shared" si="9"/>
        <v>4.9353233830845777E-2</v>
      </c>
      <c r="AP61" s="251"/>
      <c r="AQ61" s="248" t="s">
        <v>337</v>
      </c>
      <c r="AR61" s="136">
        <v>247.09</v>
      </c>
      <c r="AS61" s="250">
        <f t="shared" si="10"/>
        <v>9.744614701310228E-2</v>
      </c>
      <c r="AT61" s="251"/>
      <c r="AU61" s="248" t="s">
        <v>337</v>
      </c>
      <c r="AV61" s="136">
        <v>81.569999999999993</v>
      </c>
      <c r="AW61" s="250">
        <f t="shared" si="11"/>
        <v>5.8800623052959411E-2</v>
      </c>
      <c r="AX61" s="251"/>
      <c r="AY61" s="248" t="s">
        <v>337</v>
      </c>
      <c r="AZ61" s="252">
        <v>3901.06</v>
      </c>
      <c r="BA61" s="250">
        <f t="shared" si="12"/>
        <v>3.9520351742055704E-2</v>
      </c>
    </row>
    <row r="62" spans="3:53" ht="14.25" customHeight="1" x14ac:dyDescent="0.35">
      <c r="C62" s="248" t="s">
        <v>338</v>
      </c>
      <c r="D62" s="249">
        <v>173.06</v>
      </c>
      <c r="E62" s="250">
        <f t="shared" si="0"/>
        <v>1.6863505493859732E-2</v>
      </c>
      <c r="G62" s="248" t="s">
        <v>338</v>
      </c>
      <c r="H62" s="136">
        <v>55.96</v>
      </c>
      <c r="I62" s="250">
        <f t="shared" si="1"/>
        <v>1.7824663514005135E-2</v>
      </c>
      <c r="K62" s="248" t="s">
        <v>338</v>
      </c>
      <c r="L62" s="136">
        <v>37.619999999999997</v>
      </c>
      <c r="M62" s="250">
        <f t="shared" si="2"/>
        <v>7.7685507634610573E-3</v>
      </c>
      <c r="O62" s="248" t="s">
        <v>338</v>
      </c>
      <c r="P62" s="136">
        <v>43.8</v>
      </c>
      <c r="Q62" s="250">
        <f t="shared" si="3"/>
        <v>2.2883295194506825E-3</v>
      </c>
      <c r="R62" s="251"/>
      <c r="S62" s="248" t="s">
        <v>338</v>
      </c>
      <c r="T62" s="136">
        <v>44.97</v>
      </c>
      <c r="U62" s="250">
        <f t="shared" si="4"/>
        <v>1.7821341055914708E-3</v>
      </c>
      <c r="V62" s="251"/>
      <c r="W62" s="248" t="s">
        <v>338</v>
      </c>
      <c r="X62" s="136">
        <v>72.239999999999995</v>
      </c>
      <c r="Y62" s="250">
        <f t="shared" si="5"/>
        <v>3.6121144762433222E-3</v>
      </c>
      <c r="Z62" s="251"/>
      <c r="AA62" s="248" t="s">
        <v>338</v>
      </c>
      <c r="AB62" s="136">
        <v>35.21</v>
      </c>
      <c r="AC62" s="250">
        <f t="shared" si="6"/>
        <v>-1.4553596417576142E-2</v>
      </c>
      <c r="AD62" s="251"/>
      <c r="AE62" s="248" t="s">
        <v>338</v>
      </c>
      <c r="AF62" s="136">
        <v>57.35</v>
      </c>
      <c r="AG62" s="250">
        <f t="shared" si="7"/>
        <v>7.2005619950825661E-3</v>
      </c>
      <c r="AH62" s="251"/>
      <c r="AI62" s="248" t="s">
        <v>338</v>
      </c>
      <c r="AJ62" s="136">
        <v>228.22</v>
      </c>
      <c r="AK62" s="250">
        <f t="shared" si="8"/>
        <v>2.4740694176283107E-2</v>
      </c>
      <c r="AL62" s="251"/>
      <c r="AM62" s="248" t="s">
        <v>338</v>
      </c>
      <c r="AN62" s="136">
        <v>50.25</v>
      </c>
      <c r="AO62" s="250">
        <f t="shared" si="9"/>
        <v>-2.3823704586062311E-3</v>
      </c>
      <c r="AP62" s="251"/>
      <c r="AQ62" s="248" t="s">
        <v>338</v>
      </c>
      <c r="AR62" s="136">
        <v>225.15</v>
      </c>
      <c r="AS62" s="250">
        <f t="shared" si="10"/>
        <v>1.4234875444839812E-2</v>
      </c>
      <c r="AT62" s="251"/>
      <c r="AU62" s="248" t="s">
        <v>338</v>
      </c>
      <c r="AV62" s="136">
        <v>77.040000000000006</v>
      </c>
      <c r="AW62" s="250">
        <f t="shared" si="11"/>
        <v>-8.6217989962680264E-3</v>
      </c>
      <c r="AX62" s="251"/>
      <c r="AY62" s="248" t="s">
        <v>338</v>
      </c>
      <c r="AZ62" s="252">
        <v>3752.75</v>
      </c>
      <c r="BA62" s="250">
        <f t="shared" si="12"/>
        <v>4.7356038257695188E-2</v>
      </c>
    </row>
    <row r="63" spans="3:53" ht="14.25" customHeight="1" x14ac:dyDescent="0.35">
      <c r="C63" s="253">
        <v>44814</v>
      </c>
      <c r="D63" s="249">
        <v>170.19</v>
      </c>
      <c r="E63" s="250">
        <f t="shared" si="0"/>
        <v>5.3090774085762016E-2</v>
      </c>
      <c r="G63" s="253">
        <v>44814</v>
      </c>
      <c r="H63" s="136">
        <v>54.98</v>
      </c>
      <c r="I63" s="250">
        <f t="shared" si="1"/>
        <v>8.6222711429095877E-3</v>
      </c>
      <c r="K63" s="253">
        <v>44814</v>
      </c>
      <c r="L63" s="136">
        <v>37.33</v>
      </c>
      <c r="M63" s="250">
        <f t="shared" si="2"/>
        <v>2.2739726027397156E-2</v>
      </c>
      <c r="O63" s="253">
        <v>44814</v>
      </c>
      <c r="P63" s="136">
        <v>43.7</v>
      </c>
      <c r="Q63" s="250">
        <f t="shared" si="3"/>
        <v>-3.2115171650055285E-2</v>
      </c>
      <c r="R63" s="251"/>
      <c r="S63" s="253">
        <v>44814</v>
      </c>
      <c r="T63" s="136">
        <v>44.89</v>
      </c>
      <c r="U63" s="250">
        <f t="shared" si="4"/>
        <v>7.8581050740906822E-3</v>
      </c>
      <c r="V63" s="251"/>
      <c r="W63" s="253">
        <v>44814</v>
      </c>
      <c r="X63" s="136">
        <v>71.98</v>
      </c>
      <c r="Y63" s="250">
        <f t="shared" si="5"/>
        <v>3.3452979181622267E-2</v>
      </c>
      <c r="Z63" s="251"/>
      <c r="AA63" s="253">
        <v>44814</v>
      </c>
      <c r="AB63" s="136">
        <v>35.729999999999997</v>
      </c>
      <c r="AC63" s="250">
        <f t="shared" si="6"/>
        <v>8.1743869209809139E-2</v>
      </c>
      <c r="AD63" s="251"/>
      <c r="AE63" s="253">
        <v>44814</v>
      </c>
      <c r="AF63" s="136">
        <v>56.94</v>
      </c>
      <c r="AG63" s="250">
        <f t="shared" si="7"/>
        <v>3.0401737242128135E-2</v>
      </c>
      <c r="AH63" s="251"/>
      <c r="AI63" s="253">
        <v>44814</v>
      </c>
      <c r="AJ63" s="136">
        <v>222.71</v>
      </c>
      <c r="AK63" s="250">
        <f t="shared" si="8"/>
        <v>9.9310720116088103E-3</v>
      </c>
      <c r="AL63" s="251"/>
      <c r="AM63" s="253">
        <v>44814</v>
      </c>
      <c r="AN63" s="136">
        <v>50.37</v>
      </c>
      <c r="AO63" s="250">
        <f t="shared" si="9"/>
        <v>8.0205876045464253E-2</v>
      </c>
      <c r="AP63" s="251"/>
      <c r="AQ63" s="253">
        <v>44814</v>
      </c>
      <c r="AR63" s="136">
        <v>221.99</v>
      </c>
      <c r="AS63" s="250">
        <f t="shared" si="10"/>
        <v>-3.1881454872024761E-3</v>
      </c>
      <c r="AT63" s="251"/>
      <c r="AU63" s="253">
        <v>44814</v>
      </c>
      <c r="AV63" s="136">
        <v>77.709999999999994</v>
      </c>
      <c r="AW63" s="250">
        <f t="shared" si="11"/>
        <v>3.1320504313204989E-2</v>
      </c>
      <c r="AX63" s="251"/>
      <c r="AY63" s="253">
        <v>44814</v>
      </c>
      <c r="AZ63" s="252">
        <v>3583.07</v>
      </c>
      <c r="BA63" s="250">
        <f t="shared" si="12"/>
        <v>-1.554815559695133E-2</v>
      </c>
    </row>
    <row r="64" spans="3:53" ht="14.25" customHeight="1" x14ac:dyDescent="0.35">
      <c r="C64" s="253">
        <v>44602</v>
      </c>
      <c r="D64" s="249">
        <v>161.61000000000001</v>
      </c>
      <c r="E64" s="250">
        <f t="shared" si="0"/>
        <v>-1.010657846379992E-2</v>
      </c>
      <c r="G64" s="253">
        <v>44602</v>
      </c>
      <c r="H64" s="136">
        <v>54.51</v>
      </c>
      <c r="I64" s="250">
        <f t="shared" si="1"/>
        <v>-2.6954659050339225E-2</v>
      </c>
      <c r="K64" s="253">
        <v>44602</v>
      </c>
      <c r="L64" s="136">
        <v>36.5</v>
      </c>
      <c r="M64" s="250">
        <f t="shared" si="2"/>
        <v>1.8983807928531604E-2</v>
      </c>
      <c r="O64" s="253">
        <v>44602</v>
      </c>
      <c r="P64" s="136">
        <v>45.15</v>
      </c>
      <c r="Q64" s="250">
        <f t="shared" si="3"/>
        <v>3.8408463661453673E-2</v>
      </c>
      <c r="R64" s="251"/>
      <c r="S64" s="253">
        <v>44602</v>
      </c>
      <c r="T64" s="136">
        <v>44.54</v>
      </c>
      <c r="U64" s="250">
        <f t="shared" si="4"/>
        <v>-1.9806338028169002E-2</v>
      </c>
      <c r="V64" s="251"/>
      <c r="W64" s="253">
        <v>44602</v>
      </c>
      <c r="X64" s="136">
        <v>69.650000000000006</v>
      </c>
      <c r="Y64" s="250">
        <f t="shared" si="5"/>
        <v>-1.4355440712021661E-4</v>
      </c>
      <c r="Z64" s="251"/>
      <c r="AA64" s="253">
        <v>44602</v>
      </c>
      <c r="AB64" s="136">
        <v>33.03</v>
      </c>
      <c r="AC64" s="250">
        <f t="shared" si="6"/>
        <v>-9.5952023988006285E-3</v>
      </c>
      <c r="AD64" s="251"/>
      <c r="AE64" s="253">
        <v>44602</v>
      </c>
      <c r="AF64" s="136">
        <v>55.26</v>
      </c>
      <c r="AG64" s="250">
        <f t="shared" si="7"/>
        <v>7.8424220317343529E-3</v>
      </c>
      <c r="AH64" s="251"/>
      <c r="AI64" s="253">
        <v>44602</v>
      </c>
      <c r="AJ64" s="136">
        <v>220.52</v>
      </c>
      <c r="AK64" s="250">
        <f t="shared" si="8"/>
        <v>2.2678822515542763E-4</v>
      </c>
      <c r="AL64" s="251"/>
      <c r="AM64" s="253">
        <v>44602</v>
      </c>
      <c r="AN64" s="136">
        <v>46.63</v>
      </c>
      <c r="AO64" s="250">
        <f t="shared" si="9"/>
        <v>-1.03989813242783E-2</v>
      </c>
      <c r="AP64" s="251"/>
      <c r="AQ64" s="253">
        <v>44602</v>
      </c>
      <c r="AR64" s="136">
        <v>222.7</v>
      </c>
      <c r="AS64" s="250">
        <f t="shared" si="10"/>
        <v>-3.0390107976314917E-2</v>
      </c>
      <c r="AT64" s="251"/>
      <c r="AU64" s="253">
        <v>44602</v>
      </c>
      <c r="AV64" s="136">
        <v>75.349999999999994</v>
      </c>
      <c r="AW64" s="250">
        <f t="shared" si="11"/>
        <v>-1.6446939041900643E-2</v>
      </c>
      <c r="AX64" s="251"/>
      <c r="AY64" s="253">
        <v>44602</v>
      </c>
      <c r="AZ64" s="252">
        <v>3639.66</v>
      </c>
      <c r="BA64" s="250">
        <f t="shared" si="12"/>
        <v>1.5071312632124911E-2</v>
      </c>
    </row>
    <row r="65" spans="3:53" ht="14.25" customHeight="1" x14ac:dyDescent="0.35">
      <c r="C65" s="248" t="s">
        <v>339</v>
      </c>
      <c r="D65" s="249">
        <v>163.26</v>
      </c>
      <c r="E65" s="250">
        <f t="shared" si="0"/>
        <v>-3.1212912413956961E-2</v>
      </c>
      <c r="G65" s="248" t="s">
        <v>339</v>
      </c>
      <c r="H65" s="136">
        <v>56.02</v>
      </c>
      <c r="I65" s="250">
        <f t="shared" si="1"/>
        <v>-4.4027303754266223E-2</v>
      </c>
      <c r="K65" s="248" t="s">
        <v>339</v>
      </c>
      <c r="L65" s="136">
        <v>35.82</v>
      </c>
      <c r="M65" s="250">
        <f t="shared" si="2"/>
        <v>-3.398058252427183E-2</v>
      </c>
      <c r="O65" s="248" t="s">
        <v>339</v>
      </c>
      <c r="P65" s="136">
        <v>43.48</v>
      </c>
      <c r="Q65" s="250">
        <f t="shared" si="3"/>
        <v>-1.6073478760045834E-3</v>
      </c>
      <c r="R65" s="251"/>
      <c r="S65" s="248" t="s">
        <v>339</v>
      </c>
      <c r="T65" s="136">
        <v>45.44</v>
      </c>
      <c r="U65" s="250">
        <f t="shared" si="4"/>
        <v>-3.0509921058246237E-2</v>
      </c>
      <c r="V65" s="251"/>
      <c r="W65" s="248" t="s">
        <v>339</v>
      </c>
      <c r="X65" s="136">
        <v>69.66</v>
      </c>
      <c r="Y65" s="250">
        <f t="shared" si="5"/>
        <v>-4.6276013143483175E-2</v>
      </c>
      <c r="Z65" s="251"/>
      <c r="AA65" s="248" t="s">
        <v>339</v>
      </c>
      <c r="AB65" s="136">
        <v>33.35</v>
      </c>
      <c r="AC65" s="250">
        <f t="shared" si="6"/>
        <v>-1.6804245283018826E-2</v>
      </c>
      <c r="AD65" s="251"/>
      <c r="AE65" s="248" t="s">
        <v>339</v>
      </c>
      <c r="AF65" s="136">
        <v>54.83</v>
      </c>
      <c r="AG65" s="250">
        <f t="shared" si="7"/>
        <v>-6.9889737065309654E-2</v>
      </c>
      <c r="AH65" s="251"/>
      <c r="AI65" s="248" t="s">
        <v>339</v>
      </c>
      <c r="AJ65" s="136">
        <v>220.47</v>
      </c>
      <c r="AK65" s="250">
        <f t="shared" si="8"/>
        <v>-1.5495221934446746E-2</v>
      </c>
      <c r="AL65" s="251"/>
      <c r="AM65" s="248" t="s">
        <v>339</v>
      </c>
      <c r="AN65" s="136">
        <v>47.12</v>
      </c>
      <c r="AO65" s="250">
        <f t="shared" si="9"/>
        <v>-3.0452674897119447E-2</v>
      </c>
      <c r="AP65" s="251"/>
      <c r="AQ65" s="248" t="s">
        <v>339</v>
      </c>
      <c r="AR65" s="136">
        <v>229.68</v>
      </c>
      <c r="AS65" s="250">
        <f t="shared" si="10"/>
        <v>-6.8321369886706895E-3</v>
      </c>
      <c r="AT65" s="251"/>
      <c r="AU65" s="248" t="s">
        <v>339</v>
      </c>
      <c r="AV65" s="136">
        <v>76.61</v>
      </c>
      <c r="AW65" s="250">
        <f t="shared" si="11"/>
        <v>-3.2335480611342726E-2</v>
      </c>
      <c r="AX65" s="251"/>
      <c r="AY65" s="248" t="s">
        <v>339</v>
      </c>
      <c r="AZ65" s="252">
        <v>3585.62</v>
      </c>
      <c r="BA65" s="250">
        <f t="shared" si="12"/>
        <v>-2.9137096796029494E-2</v>
      </c>
    </row>
    <row r="66" spans="3:53" ht="14.25" customHeight="1" x14ac:dyDescent="0.35">
      <c r="C66" s="248" t="s">
        <v>340</v>
      </c>
      <c r="D66" s="249">
        <v>168.52</v>
      </c>
      <c r="E66" s="250">
        <f t="shared" si="0"/>
        <v>9.2831047493562302E-3</v>
      </c>
      <c r="G66" s="248" t="s">
        <v>340</v>
      </c>
      <c r="H66" s="136">
        <v>58.6</v>
      </c>
      <c r="I66" s="250">
        <f t="shared" si="1"/>
        <v>-1.5787705744037539E-2</v>
      </c>
      <c r="K66" s="248" t="s">
        <v>340</v>
      </c>
      <c r="L66" s="136">
        <v>37.08</v>
      </c>
      <c r="M66" s="250">
        <f t="shared" si="2"/>
        <v>-2.4213075060534051E-3</v>
      </c>
      <c r="O66" s="248" t="s">
        <v>340</v>
      </c>
      <c r="P66" s="136">
        <v>43.55</v>
      </c>
      <c r="Q66" s="250">
        <f t="shared" si="3"/>
        <v>-1.6047684548372576E-3</v>
      </c>
      <c r="R66" s="251"/>
      <c r="S66" s="248" t="s">
        <v>340</v>
      </c>
      <c r="T66" s="136">
        <v>46.87</v>
      </c>
      <c r="U66" s="250">
        <f t="shared" si="4"/>
        <v>2.3585935793841495E-2</v>
      </c>
      <c r="V66" s="251"/>
      <c r="W66" s="248" t="s">
        <v>340</v>
      </c>
      <c r="X66" s="136">
        <v>73.040000000000006</v>
      </c>
      <c r="Y66" s="250">
        <f t="shared" si="5"/>
        <v>2.7574563871693991E-2</v>
      </c>
      <c r="Z66" s="251"/>
      <c r="AA66" s="248" t="s">
        <v>340</v>
      </c>
      <c r="AB66" s="136">
        <v>33.92</v>
      </c>
      <c r="AC66" s="250">
        <f t="shared" si="6"/>
        <v>-2.2760011524056489E-2</v>
      </c>
      <c r="AD66" s="251"/>
      <c r="AE66" s="248" t="s">
        <v>340</v>
      </c>
      <c r="AF66" s="136">
        <v>58.95</v>
      </c>
      <c r="AG66" s="250">
        <f t="shared" si="7"/>
        <v>-2.2388059701492491E-2</v>
      </c>
      <c r="AH66" s="251"/>
      <c r="AI66" s="248" t="s">
        <v>340</v>
      </c>
      <c r="AJ66" s="136">
        <v>223.94</v>
      </c>
      <c r="AK66" s="250">
        <f t="shared" si="8"/>
        <v>1.8418300059120485E-2</v>
      </c>
      <c r="AL66" s="251"/>
      <c r="AM66" s="248" t="s">
        <v>340</v>
      </c>
      <c r="AN66" s="136">
        <v>48.6</v>
      </c>
      <c r="AO66" s="250">
        <f t="shared" si="9"/>
        <v>1.9081568462990139E-2</v>
      </c>
      <c r="AP66" s="251"/>
      <c r="AQ66" s="248" t="s">
        <v>340</v>
      </c>
      <c r="AR66" s="136">
        <v>231.26</v>
      </c>
      <c r="AS66" s="250">
        <f t="shared" si="10"/>
        <v>-3.6015006252605342E-2</v>
      </c>
      <c r="AT66" s="251"/>
      <c r="AU66" s="248" t="s">
        <v>340</v>
      </c>
      <c r="AV66" s="136">
        <v>79.17</v>
      </c>
      <c r="AW66" s="250">
        <f t="shared" si="11"/>
        <v>5.2093023255813886E-2</v>
      </c>
      <c r="AX66" s="251"/>
      <c r="AY66" s="248" t="s">
        <v>340</v>
      </c>
      <c r="AZ66" s="252">
        <v>3693.23</v>
      </c>
      <c r="BA66" s="250">
        <f t="shared" si="12"/>
        <v>-4.6497458259430524E-2</v>
      </c>
    </row>
    <row r="67" spans="3:53" ht="14.25" customHeight="1" x14ac:dyDescent="0.35">
      <c r="C67" s="253">
        <v>44874</v>
      </c>
      <c r="D67" s="249">
        <v>166.97</v>
      </c>
      <c r="E67" s="250">
        <f t="shared" si="0"/>
        <v>-3.6081283916406859E-2</v>
      </c>
      <c r="G67" s="253">
        <v>44874</v>
      </c>
      <c r="H67" s="136">
        <v>59.54</v>
      </c>
      <c r="I67" s="250">
        <f t="shared" si="1"/>
        <v>-4.4608472400513466E-2</v>
      </c>
      <c r="K67" s="253">
        <v>44874</v>
      </c>
      <c r="L67" s="136">
        <v>37.17</v>
      </c>
      <c r="M67" s="250">
        <f t="shared" si="2"/>
        <v>-3.9286637373998401E-2</v>
      </c>
      <c r="O67" s="253">
        <v>44874</v>
      </c>
      <c r="P67" s="136">
        <v>43.62</v>
      </c>
      <c r="Q67" s="250">
        <f t="shared" si="3"/>
        <v>-5.625270445694508E-2</v>
      </c>
      <c r="R67" s="251"/>
      <c r="S67" s="253">
        <v>44874</v>
      </c>
      <c r="T67" s="136">
        <v>45.79</v>
      </c>
      <c r="U67" s="250">
        <f t="shared" si="4"/>
        <v>-2.2833973538198937E-2</v>
      </c>
      <c r="V67" s="251"/>
      <c r="W67" s="253">
        <v>44874</v>
      </c>
      <c r="X67" s="136">
        <v>71.08</v>
      </c>
      <c r="Y67" s="250">
        <f t="shared" si="5"/>
        <v>-1.3599777962808868E-2</v>
      </c>
      <c r="Z67" s="251"/>
      <c r="AA67" s="253">
        <v>44874</v>
      </c>
      <c r="AB67" s="136">
        <v>34.71</v>
      </c>
      <c r="AC67" s="250">
        <f t="shared" si="6"/>
        <v>-4.7997805814591343E-2</v>
      </c>
      <c r="AD67" s="251"/>
      <c r="AE67" s="253">
        <v>44874</v>
      </c>
      <c r="AF67" s="136">
        <v>60.3</v>
      </c>
      <c r="AG67" s="250">
        <f t="shared" si="7"/>
        <v>-1.6794390999510855E-2</v>
      </c>
      <c r="AH67" s="251"/>
      <c r="AI67" s="253">
        <v>44874</v>
      </c>
      <c r="AJ67" s="136">
        <v>219.89</v>
      </c>
      <c r="AK67" s="250">
        <f t="shared" si="8"/>
        <v>-2.8110497237569088E-2</v>
      </c>
      <c r="AL67" s="251"/>
      <c r="AM67" s="253">
        <v>44874</v>
      </c>
      <c r="AN67" s="136">
        <v>47.69</v>
      </c>
      <c r="AO67" s="250">
        <f t="shared" si="9"/>
        <v>-5.0073023158773156E-3</v>
      </c>
      <c r="AP67" s="251"/>
      <c r="AQ67" s="253">
        <v>44874</v>
      </c>
      <c r="AR67" s="136">
        <v>239.9</v>
      </c>
      <c r="AS67" s="250">
        <f t="shared" si="10"/>
        <v>-2.7563842723956178E-2</v>
      </c>
      <c r="AT67" s="251"/>
      <c r="AU67" s="253">
        <v>44874</v>
      </c>
      <c r="AV67" s="136">
        <v>75.25</v>
      </c>
      <c r="AW67" s="250">
        <f t="shared" si="11"/>
        <v>-8.6945066526148418E-3</v>
      </c>
      <c r="AX67" s="251"/>
      <c r="AY67" s="253">
        <v>44874</v>
      </c>
      <c r="AZ67" s="252">
        <v>3873.33</v>
      </c>
      <c r="BA67" s="250">
        <f t="shared" si="12"/>
        <v>-4.7704161913378784E-2</v>
      </c>
    </row>
    <row r="68" spans="3:53" ht="14.25" customHeight="1" x14ac:dyDescent="0.35">
      <c r="C68" s="253">
        <v>44660</v>
      </c>
      <c r="D68" s="249">
        <v>173.22</v>
      </c>
      <c r="E68" s="250">
        <f t="shared" si="0"/>
        <v>1.5000585960389001E-2</v>
      </c>
      <c r="G68" s="253">
        <v>44660</v>
      </c>
      <c r="H68" s="136">
        <v>62.32</v>
      </c>
      <c r="I68" s="250">
        <f t="shared" si="1"/>
        <v>1.9133278822567545E-2</v>
      </c>
      <c r="K68" s="253">
        <v>44660</v>
      </c>
      <c r="L68" s="136">
        <v>38.69</v>
      </c>
      <c r="M68" s="250">
        <f t="shared" si="2"/>
        <v>2.2733280465239147E-2</v>
      </c>
      <c r="O68" s="253">
        <v>44660</v>
      </c>
      <c r="P68" s="136">
        <v>46.22</v>
      </c>
      <c r="Q68" s="250">
        <f t="shared" si="3"/>
        <v>4.5701357466063186E-2</v>
      </c>
      <c r="R68" s="251"/>
      <c r="S68" s="253">
        <v>44660</v>
      </c>
      <c r="T68" s="136">
        <v>46.86</v>
      </c>
      <c r="U68" s="250">
        <f t="shared" si="4"/>
        <v>1.0131493856434526E-2</v>
      </c>
      <c r="V68" s="251"/>
      <c r="W68" s="253">
        <v>44660</v>
      </c>
      <c r="X68" s="136">
        <v>72.06</v>
      </c>
      <c r="Y68" s="250">
        <f t="shared" si="5"/>
        <v>-8.803301237964245E-3</v>
      </c>
      <c r="Z68" s="251"/>
      <c r="AA68" s="253">
        <v>44660</v>
      </c>
      <c r="AB68" s="136">
        <v>36.46</v>
      </c>
      <c r="AC68" s="250">
        <f t="shared" si="6"/>
        <v>-2.2782095952827652E-2</v>
      </c>
      <c r="AD68" s="251"/>
      <c r="AE68" s="253">
        <v>44660</v>
      </c>
      <c r="AF68" s="136">
        <v>61.33</v>
      </c>
      <c r="AG68" s="250">
        <f t="shared" si="7"/>
        <v>9.8797958175531608E-3</v>
      </c>
      <c r="AH68" s="251"/>
      <c r="AI68" s="253">
        <v>44660</v>
      </c>
      <c r="AJ68" s="136">
        <v>226.25</v>
      </c>
      <c r="AK68" s="250">
        <f t="shared" si="8"/>
        <v>9.8192367775049583E-3</v>
      </c>
      <c r="AL68" s="251"/>
      <c r="AM68" s="253">
        <v>44660</v>
      </c>
      <c r="AN68" s="136">
        <v>47.93</v>
      </c>
      <c r="AO68" s="250">
        <f t="shared" si="9"/>
        <v>-2.4424994911459441E-2</v>
      </c>
      <c r="AP68" s="251"/>
      <c r="AQ68" s="253">
        <v>44660</v>
      </c>
      <c r="AR68" s="136">
        <v>246.7</v>
      </c>
      <c r="AS68" s="250">
        <f t="shared" si="10"/>
        <v>7.5556463140697971E-3</v>
      </c>
      <c r="AT68" s="251"/>
      <c r="AU68" s="253">
        <v>44660</v>
      </c>
      <c r="AV68" s="136">
        <v>75.91</v>
      </c>
      <c r="AW68" s="250">
        <f t="shared" si="11"/>
        <v>-1.0557872784150213E-2</v>
      </c>
      <c r="AX68" s="251"/>
      <c r="AY68" s="253">
        <v>44660</v>
      </c>
      <c r="AZ68" s="252">
        <v>4067.36</v>
      </c>
      <c r="BA68" s="250">
        <f t="shared" si="12"/>
        <v>3.646547374536846E-2</v>
      </c>
    </row>
    <row r="69" spans="3:53" ht="14.25" customHeight="1" x14ac:dyDescent="0.35">
      <c r="C69" s="248" t="s">
        <v>341</v>
      </c>
      <c r="D69" s="249">
        <v>170.66</v>
      </c>
      <c r="E69" s="250">
        <f t="shared" si="0"/>
        <v>-2.5022851919561218E-2</v>
      </c>
      <c r="G69" s="248" t="s">
        <v>341</v>
      </c>
      <c r="H69" s="136">
        <v>61.15</v>
      </c>
      <c r="I69" s="250">
        <f t="shared" si="1"/>
        <v>-3.1056884804309903E-2</v>
      </c>
      <c r="K69" s="248" t="s">
        <v>341</v>
      </c>
      <c r="L69" s="136">
        <v>37.83</v>
      </c>
      <c r="M69" s="250">
        <f t="shared" si="2"/>
        <v>-2.0455722423614708E-2</v>
      </c>
      <c r="O69" s="248" t="s">
        <v>341</v>
      </c>
      <c r="P69" s="136">
        <v>44.2</v>
      </c>
      <c r="Q69" s="250">
        <f t="shared" si="3"/>
        <v>-8.5240017945266144E-3</v>
      </c>
      <c r="R69" s="251"/>
      <c r="S69" s="248" t="s">
        <v>341</v>
      </c>
      <c r="T69" s="136">
        <v>46.39</v>
      </c>
      <c r="U69" s="250">
        <f t="shared" si="4"/>
        <v>-9.1816758026624812E-2</v>
      </c>
      <c r="V69" s="251"/>
      <c r="W69" s="248" t="s">
        <v>341</v>
      </c>
      <c r="X69" s="136">
        <v>72.7</v>
      </c>
      <c r="Y69" s="250">
        <f t="shared" si="5"/>
        <v>-1.5572105619498844E-2</v>
      </c>
      <c r="Z69" s="251"/>
      <c r="AA69" s="248" t="s">
        <v>341</v>
      </c>
      <c r="AB69" s="136">
        <v>37.31</v>
      </c>
      <c r="AC69" s="250">
        <f t="shared" si="6"/>
        <v>-2.0991865652059793E-2</v>
      </c>
      <c r="AD69" s="251"/>
      <c r="AE69" s="248" t="s">
        <v>341</v>
      </c>
      <c r="AF69" s="136">
        <v>60.73</v>
      </c>
      <c r="AG69" s="250">
        <f t="shared" si="7"/>
        <v>-3.1882671767894166E-2</v>
      </c>
      <c r="AH69" s="251"/>
      <c r="AI69" s="248" t="s">
        <v>341</v>
      </c>
      <c r="AJ69" s="136">
        <v>224.05</v>
      </c>
      <c r="AK69" s="250">
        <f t="shared" si="8"/>
        <v>-2.0203787116805816E-2</v>
      </c>
      <c r="AL69" s="251"/>
      <c r="AM69" s="248" t="s">
        <v>341</v>
      </c>
      <c r="AN69" s="136">
        <v>49.13</v>
      </c>
      <c r="AO69" s="250">
        <f t="shared" si="9"/>
        <v>-3.0775300848293496E-2</v>
      </c>
      <c r="AP69" s="251"/>
      <c r="AQ69" s="248" t="s">
        <v>341</v>
      </c>
      <c r="AR69" s="136">
        <v>244.85</v>
      </c>
      <c r="AS69" s="250">
        <f t="shared" si="10"/>
        <v>-2.7987296546248541E-2</v>
      </c>
      <c r="AT69" s="251"/>
      <c r="AU69" s="248" t="s">
        <v>341</v>
      </c>
      <c r="AV69" s="136">
        <v>76.72</v>
      </c>
      <c r="AW69" s="250">
        <f t="shared" si="11"/>
        <v>5.24109014675056E-3</v>
      </c>
      <c r="AX69" s="251"/>
      <c r="AY69" s="248" t="s">
        <v>341</v>
      </c>
      <c r="AZ69" s="252">
        <v>3924.26</v>
      </c>
      <c r="BA69" s="250">
        <f t="shared" si="12"/>
        <v>-3.2876091146128439E-2</v>
      </c>
    </row>
    <row r="70" spans="3:53" ht="14.25" customHeight="1" x14ac:dyDescent="0.35">
      <c r="C70" s="248" t="s">
        <v>342</v>
      </c>
      <c r="D70" s="249">
        <v>175.04</v>
      </c>
      <c r="E70" s="250">
        <f t="shared" si="0"/>
        <v>-2.8473108730643237E-2</v>
      </c>
      <c r="G70" s="248" t="s">
        <v>342</v>
      </c>
      <c r="H70" s="136">
        <v>63.11</v>
      </c>
      <c r="I70" s="250">
        <f t="shared" si="1"/>
        <v>-3.1609636335737323E-2</v>
      </c>
      <c r="K70" s="248" t="s">
        <v>342</v>
      </c>
      <c r="L70" s="136">
        <v>38.619999999999997</v>
      </c>
      <c r="M70" s="250">
        <f t="shared" si="2"/>
        <v>-3.353353353353361E-2</v>
      </c>
      <c r="O70" s="248" t="s">
        <v>342</v>
      </c>
      <c r="P70" s="136">
        <v>44.58</v>
      </c>
      <c r="Q70" s="250">
        <f t="shared" si="3"/>
        <v>-1.5894039735099286E-2</v>
      </c>
      <c r="R70" s="251"/>
      <c r="S70" s="248" t="s">
        <v>342</v>
      </c>
      <c r="T70" s="136">
        <v>51.08</v>
      </c>
      <c r="U70" s="250">
        <f t="shared" si="4"/>
        <v>1.9580967299770435E-4</v>
      </c>
      <c r="V70" s="251"/>
      <c r="W70" s="248" t="s">
        <v>342</v>
      </c>
      <c r="X70" s="136">
        <v>73.849999999999994</v>
      </c>
      <c r="Y70" s="250">
        <f t="shared" si="5"/>
        <v>-3.6781009521325236E-2</v>
      </c>
      <c r="Z70" s="251"/>
      <c r="AA70" s="248" t="s">
        <v>342</v>
      </c>
      <c r="AB70" s="136">
        <v>38.11</v>
      </c>
      <c r="AC70" s="250">
        <f t="shared" si="6"/>
        <v>-1.0900596937451379E-2</v>
      </c>
      <c r="AD70" s="251"/>
      <c r="AE70" s="248" t="s">
        <v>342</v>
      </c>
      <c r="AF70" s="136">
        <v>62.73</v>
      </c>
      <c r="AG70" s="250">
        <f t="shared" si="7"/>
        <v>-4.0238678090575353E-2</v>
      </c>
      <c r="AH70" s="251"/>
      <c r="AI70" s="248" t="s">
        <v>342</v>
      </c>
      <c r="AJ70" s="136">
        <v>228.67</v>
      </c>
      <c r="AK70" s="250">
        <f t="shared" si="8"/>
        <v>-1.9341281413500333E-2</v>
      </c>
      <c r="AL70" s="251"/>
      <c r="AM70" s="248" t="s">
        <v>342</v>
      </c>
      <c r="AN70" s="136">
        <v>50.69</v>
      </c>
      <c r="AO70" s="250">
        <f t="shared" si="9"/>
        <v>-1.2083414539076243E-2</v>
      </c>
      <c r="AP70" s="251"/>
      <c r="AQ70" s="248" t="s">
        <v>342</v>
      </c>
      <c r="AR70" s="136">
        <v>251.9</v>
      </c>
      <c r="AS70" s="250">
        <f t="shared" si="10"/>
        <v>8.343597282371995E-4</v>
      </c>
      <c r="AT70" s="251"/>
      <c r="AU70" s="248" t="s">
        <v>342</v>
      </c>
      <c r="AV70" s="136">
        <v>76.319999999999993</v>
      </c>
      <c r="AW70" s="250">
        <f t="shared" si="11"/>
        <v>-2.1161985378991943E-2</v>
      </c>
      <c r="AX70" s="251"/>
      <c r="AY70" s="248" t="s">
        <v>342</v>
      </c>
      <c r="AZ70" s="252">
        <v>4057.66</v>
      </c>
      <c r="BA70" s="250">
        <f t="shared" si="12"/>
        <v>-4.0397495080974677E-2</v>
      </c>
    </row>
    <row r="71" spans="3:53" ht="14.25" customHeight="1" x14ac:dyDescent="0.35">
      <c r="C71" s="248" t="s">
        <v>343</v>
      </c>
      <c r="D71" s="249">
        <v>180.17</v>
      </c>
      <c r="E71" s="250">
        <f t="shared" si="0"/>
        <v>1.6015338634184806E-2</v>
      </c>
      <c r="G71" s="248" t="s">
        <v>343</v>
      </c>
      <c r="H71" s="136">
        <v>65.17</v>
      </c>
      <c r="I71" s="250">
        <f t="shared" si="1"/>
        <v>2.3076923076922995E-2</v>
      </c>
      <c r="K71" s="248" t="s">
        <v>343</v>
      </c>
      <c r="L71" s="136">
        <v>39.96</v>
      </c>
      <c r="M71" s="250">
        <f t="shared" si="2"/>
        <v>1.6793893129771087E-2</v>
      </c>
      <c r="O71" s="248" t="s">
        <v>343</v>
      </c>
      <c r="P71" s="136">
        <v>45.3</v>
      </c>
      <c r="Q71" s="250">
        <f t="shared" si="3"/>
        <v>6.4430126638523877E-3</v>
      </c>
      <c r="R71" s="251"/>
      <c r="S71" s="248" t="s">
        <v>343</v>
      </c>
      <c r="T71" s="136">
        <v>51.07</v>
      </c>
      <c r="U71" s="250">
        <f t="shared" si="4"/>
        <v>2.4267950260730142E-2</v>
      </c>
      <c r="V71" s="251"/>
      <c r="W71" s="248" t="s">
        <v>343</v>
      </c>
      <c r="X71" s="136">
        <v>76.67</v>
      </c>
      <c r="Y71" s="250">
        <f t="shared" si="5"/>
        <v>1.3885215551441288E-2</v>
      </c>
      <c r="Z71" s="251"/>
      <c r="AA71" s="248" t="s">
        <v>343</v>
      </c>
      <c r="AB71" s="136">
        <v>38.53</v>
      </c>
      <c r="AC71" s="250">
        <f t="shared" si="6"/>
        <v>-3.620377553659182E-3</v>
      </c>
      <c r="AD71" s="251"/>
      <c r="AE71" s="248" t="s">
        <v>343</v>
      </c>
      <c r="AF71" s="136">
        <v>65.36</v>
      </c>
      <c r="AG71" s="250">
        <f t="shared" si="7"/>
        <v>1.8068535825545018E-2</v>
      </c>
      <c r="AH71" s="251"/>
      <c r="AI71" s="248" t="s">
        <v>343</v>
      </c>
      <c r="AJ71" s="136">
        <v>233.18</v>
      </c>
      <c r="AK71" s="250">
        <f t="shared" si="8"/>
        <v>3.2866761162296365E-2</v>
      </c>
      <c r="AL71" s="251"/>
      <c r="AM71" s="248" t="s">
        <v>343</v>
      </c>
      <c r="AN71" s="136">
        <v>51.31</v>
      </c>
      <c r="AO71" s="250">
        <f t="shared" si="9"/>
        <v>2.7432919503404207E-2</v>
      </c>
      <c r="AP71" s="251"/>
      <c r="AQ71" s="248" t="s">
        <v>343</v>
      </c>
      <c r="AR71" s="136">
        <v>251.69</v>
      </c>
      <c r="AS71" s="250">
        <f t="shared" si="10"/>
        <v>3.2659089976613487E-2</v>
      </c>
      <c r="AT71" s="251"/>
      <c r="AU71" s="248" t="s">
        <v>343</v>
      </c>
      <c r="AV71" s="136">
        <v>77.97</v>
      </c>
      <c r="AW71" s="250">
        <f t="shared" si="11"/>
        <v>1.2597402597402496E-2</v>
      </c>
      <c r="AX71" s="251"/>
      <c r="AY71" s="248" t="s">
        <v>343</v>
      </c>
      <c r="AZ71" s="252">
        <v>4228.4799999999996</v>
      </c>
      <c r="BA71" s="250">
        <f t="shared" si="12"/>
        <v>-1.2072006822190784E-2</v>
      </c>
    </row>
    <row r="72" spans="3:53" ht="14.25" customHeight="1" x14ac:dyDescent="0.35">
      <c r="C72" s="253">
        <v>44750</v>
      </c>
      <c r="D72" s="249">
        <v>177.33</v>
      </c>
      <c r="E72" s="250">
        <f t="shared" si="0"/>
        <v>1.5926668576339065E-2</v>
      </c>
      <c r="G72" s="253">
        <v>44750</v>
      </c>
      <c r="H72" s="136">
        <v>63.7</v>
      </c>
      <c r="I72" s="250">
        <f t="shared" si="1"/>
        <v>5.0489113284948317E-3</v>
      </c>
      <c r="K72" s="253">
        <v>44750</v>
      </c>
      <c r="L72" s="136">
        <v>39.299999999999997</v>
      </c>
      <c r="M72" s="250">
        <f t="shared" si="2"/>
        <v>1.4979338842975087E-2</v>
      </c>
      <c r="O72" s="253">
        <v>44750</v>
      </c>
      <c r="P72" s="136">
        <v>45.01</v>
      </c>
      <c r="Q72" s="250">
        <f t="shared" si="3"/>
        <v>-1.4882906544101515E-2</v>
      </c>
      <c r="R72" s="251"/>
      <c r="S72" s="253">
        <v>44750</v>
      </c>
      <c r="T72" s="136">
        <v>49.86</v>
      </c>
      <c r="U72" s="250">
        <f t="shared" si="4"/>
        <v>1.9423430791249308E-2</v>
      </c>
      <c r="V72" s="251"/>
      <c r="W72" s="253">
        <v>44750</v>
      </c>
      <c r="X72" s="136">
        <v>75.62</v>
      </c>
      <c r="Y72" s="250">
        <f t="shared" si="5"/>
        <v>7.7292110874200848E-3</v>
      </c>
      <c r="Z72" s="251"/>
      <c r="AA72" s="253">
        <v>44750</v>
      </c>
      <c r="AB72" s="136">
        <v>38.67</v>
      </c>
      <c r="AC72" s="250">
        <f t="shared" si="6"/>
        <v>2.9278679797710927E-2</v>
      </c>
      <c r="AD72" s="251"/>
      <c r="AE72" s="253">
        <v>44750</v>
      </c>
      <c r="AF72" s="136">
        <v>64.2</v>
      </c>
      <c r="AG72" s="250">
        <f t="shared" si="7"/>
        <v>6.7429825936959897E-3</v>
      </c>
      <c r="AH72" s="251"/>
      <c r="AI72" s="253">
        <v>44750</v>
      </c>
      <c r="AJ72" s="136">
        <v>225.76</v>
      </c>
      <c r="AK72" s="250">
        <f t="shared" si="8"/>
        <v>-5.9442560873586014E-3</v>
      </c>
      <c r="AL72" s="251"/>
      <c r="AM72" s="253">
        <v>44750</v>
      </c>
      <c r="AN72" s="136">
        <v>49.94</v>
      </c>
      <c r="AO72" s="250">
        <f t="shared" si="9"/>
        <v>1.0522055847834721E-2</v>
      </c>
      <c r="AP72" s="251"/>
      <c r="AQ72" s="253">
        <v>44750</v>
      </c>
      <c r="AR72" s="136">
        <v>243.73</v>
      </c>
      <c r="AS72" s="250">
        <f t="shared" si="10"/>
        <v>-2.5781633655264091E-3</v>
      </c>
      <c r="AT72" s="251"/>
      <c r="AU72" s="253">
        <v>44750</v>
      </c>
      <c r="AV72" s="136">
        <v>77</v>
      </c>
      <c r="AW72" s="250">
        <f t="shared" si="11"/>
        <v>1.0896678482342104E-2</v>
      </c>
      <c r="AX72" s="251"/>
      <c r="AY72" s="253">
        <v>44750</v>
      </c>
      <c r="AZ72" s="252">
        <v>4280.1499999999996</v>
      </c>
      <c r="BA72" s="250">
        <f t="shared" si="12"/>
        <v>3.2558218079267842E-2</v>
      </c>
    </row>
    <row r="73" spans="3:53" ht="14.25" customHeight="1" x14ac:dyDescent="0.35">
      <c r="C73" s="248" t="s">
        <v>344</v>
      </c>
      <c r="D73" s="249">
        <v>174.55</v>
      </c>
      <c r="E73" s="250">
        <f t="shared" si="0"/>
        <v>-2.3433927754915596E-3</v>
      </c>
      <c r="G73" s="248" t="s">
        <v>344</v>
      </c>
      <c r="H73" s="136">
        <v>63.38</v>
      </c>
      <c r="I73" s="250">
        <f t="shared" si="1"/>
        <v>-1.2311048776686873E-2</v>
      </c>
      <c r="K73" s="248" t="s">
        <v>344</v>
      </c>
      <c r="L73" s="136">
        <v>38.72</v>
      </c>
      <c r="M73" s="250">
        <f t="shared" si="2"/>
        <v>-5.1626226122880592E-4</v>
      </c>
      <c r="O73" s="248" t="s">
        <v>344</v>
      </c>
      <c r="P73" s="136">
        <v>45.69</v>
      </c>
      <c r="Q73" s="250">
        <f t="shared" si="3"/>
        <v>-8.2714314394699895E-2</v>
      </c>
      <c r="R73" s="251"/>
      <c r="S73" s="248" t="s">
        <v>344</v>
      </c>
      <c r="T73" s="136">
        <v>48.91</v>
      </c>
      <c r="U73" s="250">
        <f t="shared" si="4"/>
        <v>-8.7150385083097914E-3</v>
      </c>
      <c r="V73" s="251"/>
      <c r="W73" s="248" t="s">
        <v>344</v>
      </c>
      <c r="X73" s="136">
        <v>75.040000000000006</v>
      </c>
      <c r="Y73" s="250">
        <f t="shared" si="5"/>
        <v>1.5151515151515138E-2</v>
      </c>
      <c r="Z73" s="251"/>
      <c r="AA73" s="248" t="s">
        <v>344</v>
      </c>
      <c r="AB73" s="136">
        <v>37.57</v>
      </c>
      <c r="AC73" s="250">
        <f t="shared" si="6"/>
        <v>2.0092316046701031E-2</v>
      </c>
      <c r="AD73" s="251"/>
      <c r="AE73" s="248" t="s">
        <v>344</v>
      </c>
      <c r="AF73" s="136">
        <v>63.77</v>
      </c>
      <c r="AG73" s="250">
        <f t="shared" si="7"/>
        <v>-4.2161149281699783E-3</v>
      </c>
      <c r="AH73" s="251"/>
      <c r="AI73" s="248" t="s">
        <v>344</v>
      </c>
      <c r="AJ73" s="136">
        <v>227.11</v>
      </c>
      <c r="AK73" s="250">
        <f t="shared" si="8"/>
        <v>-3.7287243376030732E-3</v>
      </c>
      <c r="AL73" s="251"/>
      <c r="AM73" s="248" t="s">
        <v>344</v>
      </c>
      <c r="AN73" s="136">
        <v>49.42</v>
      </c>
      <c r="AO73" s="250">
        <f t="shared" si="9"/>
        <v>1.4184397163121698E-3</v>
      </c>
      <c r="AP73" s="251"/>
      <c r="AQ73" s="248" t="s">
        <v>344</v>
      </c>
      <c r="AR73" s="136">
        <v>244.36</v>
      </c>
      <c r="AS73" s="250">
        <f t="shared" si="10"/>
        <v>-7.9168527465388605E-3</v>
      </c>
      <c r="AT73" s="251"/>
      <c r="AU73" s="248" t="s">
        <v>344</v>
      </c>
      <c r="AV73" s="136">
        <v>76.17</v>
      </c>
      <c r="AW73" s="250">
        <f t="shared" si="11"/>
        <v>1.8451664661050859E-2</v>
      </c>
      <c r="AX73" s="251"/>
      <c r="AY73" s="248" t="s">
        <v>344</v>
      </c>
      <c r="AZ73" s="252">
        <v>4145.1899999999996</v>
      </c>
      <c r="BA73" s="250">
        <f t="shared" si="12"/>
        <v>3.6074948732411904E-3</v>
      </c>
    </row>
    <row r="74" spans="3:53" ht="14.25" customHeight="1" x14ac:dyDescent="0.35">
      <c r="C74" s="248" t="s">
        <v>345</v>
      </c>
      <c r="D74" s="249">
        <v>174.96</v>
      </c>
      <c r="E74" s="250">
        <f t="shared" si="0"/>
        <v>3.1542951476917658E-2</v>
      </c>
      <c r="G74" s="248" t="s">
        <v>345</v>
      </c>
      <c r="H74" s="136">
        <v>64.17</v>
      </c>
      <c r="I74" s="250">
        <f t="shared" si="1"/>
        <v>4.1889917194349646E-2</v>
      </c>
      <c r="K74" s="248" t="s">
        <v>345</v>
      </c>
      <c r="L74" s="136">
        <v>38.74</v>
      </c>
      <c r="M74" s="250">
        <f t="shared" si="2"/>
        <v>6.3409278067526831E-2</v>
      </c>
      <c r="O74" s="248" t="s">
        <v>345</v>
      </c>
      <c r="P74" s="136">
        <v>49.81</v>
      </c>
      <c r="Q74" s="250">
        <f t="shared" si="3"/>
        <v>4.7969703345255743E-2</v>
      </c>
      <c r="R74" s="251"/>
      <c r="S74" s="248" t="s">
        <v>345</v>
      </c>
      <c r="T74" s="136">
        <v>49.34</v>
      </c>
      <c r="U74" s="250">
        <f t="shared" si="4"/>
        <v>3.6772431183021537E-2</v>
      </c>
      <c r="V74" s="251"/>
      <c r="W74" s="248" t="s">
        <v>345</v>
      </c>
      <c r="X74" s="136">
        <v>73.92</v>
      </c>
      <c r="Y74" s="250">
        <f t="shared" si="5"/>
        <v>3.9077874613438368E-2</v>
      </c>
      <c r="Z74" s="251"/>
      <c r="AA74" s="248" t="s">
        <v>345</v>
      </c>
      <c r="AB74" s="136">
        <v>36.83</v>
      </c>
      <c r="AC74" s="250">
        <f t="shared" si="6"/>
        <v>-3.8883089770354928E-2</v>
      </c>
      <c r="AD74" s="251"/>
      <c r="AE74" s="248" t="s">
        <v>345</v>
      </c>
      <c r="AF74" s="136">
        <v>64.040000000000006</v>
      </c>
      <c r="AG74" s="250">
        <f t="shared" si="7"/>
        <v>3.3069849975802645E-2</v>
      </c>
      <c r="AH74" s="251"/>
      <c r="AI74" s="248" t="s">
        <v>345</v>
      </c>
      <c r="AJ74" s="136">
        <v>227.96</v>
      </c>
      <c r="AK74" s="250">
        <f t="shared" si="8"/>
        <v>5.5761393108558766E-2</v>
      </c>
      <c r="AL74" s="251"/>
      <c r="AM74" s="248" t="s">
        <v>345</v>
      </c>
      <c r="AN74" s="136">
        <v>49.35</v>
      </c>
      <c r="AO74" s="250">
        <f t="shared" si="9"/>
        <v>3.1347962382445083E-2</v>
      </c>
      <c r="AP74" s="251"/>
      <c r="AQ74" s="248" t="s">
        <v>345</v>
      </c>
      <c r="AR74" s="136">
        <v>246.31</v>
      </c>
      <c r="AS74" s="250">
        <f t="shared" si="10"/>
        <v>1.6214209093159626E-2</v>
      </c>
      <c r="AT74" s="251"/>
      <c r="AU74" s="248" t="s">
        <v>345</v>
      </c>
      <c r="AV74" s="136">
        <v>74.790000000000006</v>
      </c>
      <c r="AW74" s="250">
        <f t="shared" si="11"/>
        <v>1.5754447915252046E-2</v>
      </c>
      <c r="AX74" s="251"/>
      <c r="AY74" s="248" t="s">
        <v>345</v>
      </c>
      <c r="AZ74" s="252">
        <v>4130.29</v>
      </c>
      <c r="BA74" s="250">
        <f t="shared" si="12"/>
        <v>4.2573385197506974E-2</v>
      </c>
    </row>
    <row r="75" spans="3:53" ht="14.25" customHeight="1" x14ac:dyDescent="0.35">
      <c r="C75" s="248" t="s">
        <v>346</v>
      </c>
      <c r="D75" s="249">
        <v>169.61</v>
      </c>
      <c r="E75" s="250">
        <f t="shared" si="0"/>
        <v>-8.824216923796091E-3</v>
      </c>
      <c r="G75" s="248" t="s">
        <v>346</v>
      </c>
      <c r="H75" s="136">
        <v>61.59</v>
      </c>
      <c r="I75" s="250">
        <f t="shared" si="1"/>
        <v>-1.4559999999999906E-2</v>
      </c>
      <c r="K75" s="248" t="s">
        <v>346</v>
      </c>
      <c r="L75" s="136">
        <v>36.43</v>
      </c>
      <c r="M75" s="250">
        <f t="shared" si="2"/>
        <v>-5.4600054600055792E-3</v>
      </c>
      <c r="O75" s="248" t="s">
        <v>346</v>
      </c>
      <c r="P75" s="136">
        <v>47.53</v>
      </c>
      <c r="Q75" s="250">
        <f t="shared" si="3"/>
        <v>-2.1613832853025872E-2</v>
      </c>
      <c r="R75" s="251"/>
      <c r="S75" s="248" t="s">
        <v>346</v>
      </c>
      <c r="T75" s="136">
        <v>47.59</v>
      </c>
      <c r="U75" s="250">
        <f t="shared" si="4"/>
        <v>-4.1849759363882244E-3</v>
      </c>
      <c r="V75" s="251"/>
      <c r="W75" s="248" t="s">
        <v>346</v>
      </c>
      <c r="X75" s="136">
        <v>71.14</v>
      </c>
      <c r="Y75" s="250">
        <f t="shared" si="5"/>
        <v>-1.8081435472739882E-2</v>
      </c>
      <c r="Z75" s="251"/>
      <c r="AA75" s="248" t="s">
        <v>346</v>
      </c>
      <c r="AB75" s="136">
        <v>38.32</v>
      </c>
      <c r="AC75" s="250">
        <f t="shared" si="6"/>
        <v>8.1557484872403219E-3</v>
      </c>
      <c r="AD75" s="251"/>
      <c r="AE75" s="248" t="s">
        <v>346</v>
      </c>
      <c r="AF75" s="136">
        <v>61.99</v>
      </c>
      <c r="AG75" s="250">
        <f t="shared" si="7"/>
        <v>2.0579519262430068E-2</v>
      </c>
      <c r="AH75" s="251"/>
      <c r="AI75" s="248" t="s">
        <v>346</v>
      </c>
      <c r="AJ75" s="136">
        <v>215.92</v>
      </c>
      <c r="AK75" s="250">
        <f t="shared" si="8"/>
        <v>-4.0590405904059601E-3</v>
      </c>
      <c r="AL75" s="251"/>
      <c r="AM75" s="248" t="s">
        <v>346</v>
      </c>
      <c r="AN75" s="136">
        <v>47.85</v>
      </c>
      <c r="AO75" s="250">
        <f t="shared" si="9"/>
        <v>-1.8058690744920947E-2</v>
      </c>
      <c r="AP75" s="251"/>
      <c r="AQ75" s="248" t="s">
        <v>346</v>
      </c>
      <c r="AR75" s="136">
        <v>242.38</v>
      </c>
      <c r="AS75" s="250">
        <f t="shared" si="10"/>
        <v>-8.8329107712439292E-3</v>
      </c>
      <c r="AT75" s="251"/>
      <c r="AU75" s="248" t="s">
        <v>346</v>
      </c>
      <c r="AV75" s="136">
        <v>73.63</v>
      </c>
      <c r="AW75" s="250">
        <f t="shared" si="11"/>
        <v>-1.72183662573413E-2</v>
      </c>
      <c r="AX75" s="251"/>
      <c r="AY75" s="248" t="s">
        <v>346</v>
      </c>
      <c r="AZ75" s="252">
        <v>3961.63</v>
      </c>
      <c r="BA75" s="250">
        <f t="shared" si="12"/>
        <v>2.5489495646051408E-2</v>
      </c>
    </row>
    <row r="76" spans="3:53" ht="14.25" customHeight="1" x14ac:dyDescent="0.35">
      <c r="C76" s="253">
        <v>44841</v>
      </c>
      <c r="D76" s="249">
        <v>171.12</v>
      </c>
      <c r="E76" s="250">
        <f t="shared" si="0"/>
        <v>-4.4216895508494281E-3</v>
      </c>
      <c r="G76" s="253">
        <v>44841</v>
      </c>
      <c r="H76" s="136">
        <v>62.5</v>
      </c>
      <c r="I76" s="250">
        <f t="shared" si="1"/>
        <v>-1.0136205258156505E-2</v>
      </c>
      <c r="K76" s="253">
        <v>44841</v>
      </c>
      <c r="L76" s="136">
        <v>36.630000000000003</v>
      </c>
      <c r="M76" s="250">
        <f t="shared" si="2"/>
        <v>1.1878453038673964E-2</v>
      </c>
      <c r="O76" s="253">
        <v>44841</v>
      </c>
      <c r="P76" s="136">
        <v>48.58</v>
      </c>
      <c r="Q76" s="250">
        <f t="shared" si="3"/>
        <v>-3.2827246614690608E-3</v>
      </c>
      <c r="R76" s="251"/>
      <c r="S76" s="253">
        <v>44841</v>
      </c>
      <c r="T76" s="136">
        <v>47.79</v>
      </c>
      <c r="U76" s="250">
        <f t="shared" si="4"/>
        <v>5.0473186119874835E-3</v>
      </c>
      <c r="V76" s="251"/>
      <c r="W76" s="253">
        <v>44841</v>
      </c>
      <c r="X76" s="136">
        <v>72.45</v>
      </c>
      <c r="Y76" s="250">
        <f t="shared" si="5"/>
        <v>-9.6525096525090781E-4</v>
      </c>
      <c r="Z76" s="251"/>
      <c r="AA76" s="253">
        <v>44841</v>
      </c>
      <c r="AB76" s="136">
        <v>38.01</v>
      </c>
      <c r="AC76" s="250">
        <f t="shared" si="6"/>
        <v>-9.3823299452697739E-3</v>
      </c>
      <c r="AD76" s="251"/>
      <c r="AE76" s="253">
        <v>44841</v>
      </c>
      <c r="AF76" s="136">
        <v>60.74</v>
      </c>
      <c r="AG76" s="250">
        <f t="shared" si="7"/>
        <v>-2.7226137091607927E-2</v>
      </c>
      <c r="AH76" s="251"/>
      <c r="AI76" s="253">
        <v>44841</v>
      </c>
      <c r="AJ76" s="136">
        <v>216.8</v>
      </c>
      <c r="AK76" s="250">
        <f t="shared" si="8"/>
        <v>-1.3603894626688984E-2</v>
      </c>
      <c r="AL76" s="251"/>
      <c r="AM76" s="253">
        <v>44841</v>
      </c>
      <c r="AN76" s="136">
        <v>48.73</v>
      </c>
      <c r="AO76" s="250">
        <f t="shared" si="9"/>
        <v>3.0876904075751721E-3</v>
      </c>
      <c r="AP76" s="251"/>
      <c r="AQ76" s="253">
        <v>44841</v>
      </c>
      <c r="AR76" s="136">
        <v>244.54</v>
      </c>
      <c r="AS76" s="250">
        <f t="shared" si="10"/>
        <v>9.7865136061443536E-3</v>
      </c>
      <c r="AT76" s="251"/>
      <c r="AU76" s="253">
        <v>44841</v>
      </c>
      <c r="AV76" s="136">
        <v>74.92</v>
      </c>
      <c r="AW76" s="250">
        <f t="shared" si="11"/>
        <v>-8.2075721472067986E-3</v>
      </c>
      <c r="AX76" s="251"/>
      <c r="AY76" s="253">
        <v>44841</v>
      </c>
      <c r="AZ76" s="252">
        <v>3863.16</v>
      </c>
      <c r="BA76" s="250">
        <f t="shared" si="12"/>
        <v>-9.2886561453360272E-3</v>
      </c>
    </row>
    <row r="77" spans="3:53" ht="14.25" customHeight="1" x14ac:dyDescent="0.35">
      <c r="C77" s="253">
        <v>44627</v>
      </c>
      <c r="D77" s="249">
        <v>171.88</v>
      </c>
      <c r="E77" s="250">
        <f t="shared" si="0"/>
        <v>1.4699805183304937E-2</v>
      </c>
      <c r="G77" s="253">
        <v>44627</v>
      </c>
      <c r="H77" s="136">
        <v>63.14</v>
      </c>
      <c r="I77" s="250">
        <f t="shared" si="1"/>
        <v>-1.9260639950295033E-2</v>
      </c>
      <c r="K77" s="253">
        <v>44627</v>
      </c>
      <c r="L77" s="136">
        <v>36.200000000000003</v>
      </c>
      <c r="M77" s="250">
        <f t="shared" si="2"/>
        <v>3.6041031327973538E-3</v>
      </c>
      <c r="O77" s="253">
        <v>44627</v>
      </c>
      <c r="P77" s="136">
        <v>48.74</v>
      </c>
      <c r="Q77" s="250">
        <f t="shared" si="3"/>
        <v>3.0443974630021353E-2</v>
      </c>
      <c r="R77" s="251"/>
      <c r="S77" s="253">
        <v>44627</v>
      </c>
      <c r="T77" s="136">
        <v>47.55</v>
      </c>
      <c r="U77" s="250">
        <f t="shared" si="4"/>
        <v>-3.5624476110646119E-3</v>
      </c>
      <c r="V77" s="251"/>
      <c r="W77" s="253">
        <v>44627</v>
      </c>
      <c r="X77" s="136">
        <v>72.52</v>
      </c>
      <c r="Y77" s="250">
        <f t="shared" si="5"/>
        <v>1.0309278350515427E-2</v>
      </c>
      <c r="Z77" s="251"/>
      <c r="AA77" s="253">
        <v>44627</v>
      </c>
      <c r="AB77" s="136">
        <v>38.369999999999997</v>
      </c>
      <c r="AC77" s="250">
        <f t="shared" si="6"/>
        <v>-6.9875776397516631E-3</v>
      </c>
      <c r="AD77" s="251"/>
      <c r="AE77" s="253">
        <v>44627</v>
      </c>
      <c r="AF77" s="136">
        <v>62.44</v>
      </c>
      <c r="AG77" s="250">
        <f t="shared" si="7"/>
        <v>-1.4209030628354991E-2</v>
      </c>
      <c r="AH77" s="251"/>
      <c r="AI77" s="253">
        <v>44627</v>
      </c>
      <c r="AJ77" s="136">
        <v>219.79</v>
      </c>
      <c r="AK77" s="250">
        <f t="shared" si="8"/>
        <v>-5.4751131221719707E-3</v>
      </c>
      <c r="AL77" s="251"/>
      <c r="AM77" s="253">
        <v>44627</v>
      </c>
      <c r="AN77" s="136">
        <v>48.58</v>
      </c>
      <c r="AO77" s="250">
        <f t="shared" si="9"/>
        <v>1.8560527943904948E-3</v>
      </c>
      <c r="AP77" s="251"/>
      <c r="AQ77" s="253">
        <v>44627</v>
      </c>
      <c r="AR77" s="136">
        <v>242.17</v>
      </c>
      <c r="AS77" s="250">
        <f t="shared" si="10"/>
        <v>2.8628467060272555E-2</v>
      </c>
      <c r="AT77" s="251"/>
      <c r="AU77" s="253">
        <v>44627</v>
      </c>
      <c r="AV77" s="136">
        <v>75.540000000000006</v>
      </c>
      <c r="AW77" s="250">
        <f t="shared" si="11"/>
        <v>-3.2985882042485537E-3</v>
      </c>
      <c r="AX77" s="251"/>
      <c r="AY77" s="253">
        <v>44627</v>
      </c>
      <c r="AZ77" s="252">
        <v>3899.38</v>
      </c>
      <c r="BA77" s="250">
        <f t="shared" si="12"/>
        <v>1.9357807038869801E-2</v>
      </c>
    </row>
    <row r="78" spans="3:53" ht="14.25" customHeight="1" x14ac:dyDescent="0.35">
      <c r="C78" s="248" t="s">
        <v>347</v>
      </c>
      <c r="D78" s="249">
        <v>169.39</v>
      </c>
      <c r="E78" s="250">
        <f t="shared" si="0"/>
        <v>1.9623186661048564E-2</v>
      </c>
      <c r="G78" s="248" t="s">
        <v>347</v>
      </c>
      <c r="H78" s="136">
        <v>64.38</v>
      </c>
      <c r="I78" s="250">
        <f t="shared" si="1"/>
        <v>2.1256345177664837E-2</v>
      </c>
      <c r="K78" s="248" t="s">
        <v>347</v>
      </c>
      <c r="L78" s="136">
        <v>36.07</v>
      </c>
      <c r="M78" s="250">
        <f t="shared" si="2"/>
        <v>8.6689038031320109E-3</v>
      </c>
      <c r="O78" s="248" t="s">
        <v>347</v>
      </c>
      <c r="P78" s="136">
        <v>47.3</v>
      </c>
      <c r="Q78" s="250">
        <f t="shared" si="3"/>
        <v>2.1146119687043274E-4</v>
      </c>
      <c r="R78" s="251"/>
      <c r="S78" s="248" t="s">
        <v>347</v>
      </c>
      <c r="T78" s="136">
        <v>47.72</v>
      </c>
      <c r="U78" s="250">
        <f t="shared" si="4"/>
        <v>7.3886426008022976E-3</v>
      </c>
      <c r="V78" s="251"/>
      <c r="W78" s="248" t="s">
        <v>347</v>
      </c>
      <c r="X78" s="136">
        <v>71.78</v>
      </c>
      <c r="Y78" s="250">
        <f t="shared" si="5"/>
        <v>1.4988687782805377E-2</v>
      </c>
      <c r="Z78" s="251"/>
      <c r="AA78" s="248" t="s">
        <v>347</v>
      </c>
      <c r="AB78" s="136">
        <v>38.64</v>
      </c>
      <c r="AC78" s="250">
        <f t="shared" si="6"/>
        <v>6.2500000000000888E-3</v>
      </c>
      <c r="AD78" s="251"/>
      <c r="AE78" s="248" t="s">
        <v>347</v>
      </c>
      <c r="AF78" s="136">
        <v>63.34</v>
      </c>
      <c r="AG78" s="250">
        <f t="shared" si="7"/>
        <v>1.101356743814863E-2</v>
      </c>
      <c r="AH78" s="251"/>
      <c r="AI78" s="248" t="s">
        <v>347</v>
      </c>
      <c r="AJ78" s="136">
        <v>221</v>
      </c>
      <c r="AK78" s="250">
        <f t="shared" si="8"/>
        <v>1.8102824040555632E-4</v>
      </c>
      <c r="AL78" s="251"/>
      <c r="AM78" s="248" t="s">
        <v>347</v>
      </c>
      <c r="AN78" s="136">
        <v>48.49</v>
      </c>
      <c r="AO78" s="250">
        <f t="shared" si="9"/>
        <v>1.0322047894302244E-3</v>
      </c>
      <c r="AP78" s="251"/>
      <c r="AQ78" s="248" t="s">
        <v>347</v>
      </c>
      <c r="AR78" s="136">
        <v>235.43</v>
      </c>
      <c r="AS78" s="250">
        <f t="shared" si="10"/>
        <v>-4.10183299389002E-2</v>
      </c>
      <c r="AT78" s="251"/>
      <c r="AU78" s="248" t="s">
        <v>347</v>
      </c>
      <c r="AV78" s="136">
        <v>75.790000000000006</v>
      </c>
      <c r="AW78" s="250">
        <f t="shared" si="11"/>
        <v>7.3056774741611319E-2</v>
      </c>
      <c r="AX78" s="251"/>
      <c r="AY78" s="248" t="s">
        <v>347</v>
      </c>
      <c r="AZ78" s="252">
        <v>3825.33</v>
      </c>
      <c r="BA78" s="250">
        <f t="shared" si="12"/>
        <v>-2.2089913951336193E-2</v>
      </c>
    </row>
    <row r="79" spans="3:53" ht="14.25" customHeight="1" x14ac:dyDescent="0.35">
      <c r="C79" s="248" t="s">
        <v>348</v>
      </c>
      <c r="D79" s="249">
        <v>166.13</v>
      </c>
      <c r="E79" s="250">
        <f t="shared" si="0"/>
        <v>5.7748631096396164E-2</v>
      </c>
      <c r="G79" s="248" t="s">
        <v>348</v>
      </c>
      <c r="H79" s="136">
        <v>63.04</v>
      </c>
      <c r="I79" s="250">
        <f t="shared" si="1"/>
        <v>6.0743732121824046E-2</v>
      </c>
      <c r="K79" s="248" t="s">
        <v>348</v>
      </c>
      <c r="L79" s="136">
        <v>35.76</v>
      </c>
      <c r="M79" s="250">
        <f t="shared" si="2"/>
        <v>4.1048034934497712E-2</v>
      </c>
      <c r="O79" s="248" t="s">
        <v>348</v>
      </c>
      <c r="P79" s="136">
        <v>47.29</v>
      </c>
      <c r="Q79" s="250">
        <f t="shared" si="3"/>
        <v>7.3309123921924568E-2</v>
      </c>
      <c r="R79" s="251"/>
      <c r="S79" s="248" t="s">
        <v>348</v>
      </c>
      <c r="T79" s="136">
        <v>47.37</v>
      </c>
      <c r="U79" s="250">
        <f t="shared" si="4"/>
        <v>5.9968673081226331E-2</v>
      </c>
      <c r="V79" s="251"/>
      <c r="W79" s="248" t="s">
        <v>348</v>
      </c>
      <c r="X79" s="136">
        <v>70.72</v>
      </c>
      <c r="Y79" s="250">
        <f t="shared" si="5"/>
        <v>4.7083209949659421E-2</v>
      </c>
      <c r="Z79" s="251"/>
      <c r="AA79" s="248" t="s">
        <v>348</v>
      </c>
      <c r="AB79" s="136">
        <v>38.4</v>
      </c>
      <c r="AC79" s="250">
        <f t="shared" si="6"/>
        <v>7.9258010118043787E-2</v>
      </c>
      <c r="AD79" s="251"/>
      <c r="AE79" s="248" t="s">
        <v>348</v>
      </c>
      <c r="AF79" s="136">
        <v>62.65</v>
      </c>
      <c r="AG79" s="250">
        <f t="shared" si="7"/>
        <v>6.5476190476190466E-2</v>
      </c>
      <c r="AH79" s="251"/>
      <c r="AI79" s="248" t="s">
        <v>348</v>
      </c>
      <c r="AJ79" s="136">
        <v>220.96</v>
      </c>
      <c r="AK79" s="250">
        <f t="shared" si="8"/>
        <v>7.2465174974518209E-2</v>
      </c>
      <c r="AL79" s="251"/>
      <c r="AM79" s="248" t="s">
        <v>348</v>
      </c>
      <c r="AN79" s="136">
        <v>48.44</v>
      </c>
      <c r="AO79" s="250">
        <f t="shared" si="9"/>
        <v>6.7195417492839749E-2</v>
      </c>
      <c r="AP79" s="251"/>
      <c r="AQ79" s="248" t="s">
        <v>348</v>
      </c>
      <c r="AR79" s="136">
        <v>245.5</v>
      </c>
      <c r="AS79" s="250">
        <f t="shared" si="10"/>
        <v>7.8173034694773769E-2</v>
      </c>
      <c r="AT79" s="251"/>
      <c r="AU79" s="248" t="s">
        <v>348</v>
      </c>
      <c r="AV79" s="136">
        <v>70.63</v>
      </c>
      <c r="AW79" s="250">
        <f t="shared" si="11"/>
        <v>6.6435150234032792E-2</v>
      </c>
      <c r="AX79" s="251"/>
      <c r="AY79" s="248" t="s">
        <v>348</v>
      </c>
      <c r="AZ79" s="252">
        <v>3911.74</v>
      </c>
      <c r="BA79" s="250">
        <f t="shared" si="12"/>
        <v>6.4465391690522456E-2</v>
      </c>
    </row>
    <row r="80" spans="3:53" ht="14.25" customHeight="1" x14ac:dyDescent="0.35">
      <c r="C80" s="253">
        <v>44901</v>
      </c>
      <c r="D80" s="249">
        <v>157.06</v>
      </c>
      <c r="E80" s="250">
        <f t="shared" si="0"/>
        <v>-3.3595865124292468E-2</v>
      </c>
      <c r="G80" s="253">
        <v>44901</v>
      </c>
      <c r="H80" s="136">
        <v>59.43</v>
      </c>
      <c r="I80" s="250">
        <f t="shared" si="1"/>
        <v>-3.2242305813385386E-2</v>
      </c>
      <c r="K80" s="253">
        <v>44901</v>
      </c>
      <c r="L80" s="136">
        <v>34.35</v>
      </c>
      <c r="M80" s="250">
        <f t="shared" si="2"/>
        <v>-3.2121724429416743E-2</v>
      </c>
      <c r="O80" s="253">
        <v>44901</v>
      </c>
      <c r="P80" s="136">
        <v>44.06</v>
      </c>
      <c r="Q80" s="250">
        <f t="shared" si="3"/>
        <v>1.2408088235294157E-2</v>
      </c>
      <c r="R80" s="251"/>
      <c r="S80" s="253">
        <v>44901</v>
      </c>
      <c r="T80" s="136">
        <v>44.69</v>
      </c>
      <c r="U80" s="250">
        <f t="shared" si="4"/>
        <v>-2.5087260034904135E-2</v>
      </c>
      <c r="V80" s="251"/>
      <c r="W80" s="253">
        <v>44901</v>
      </c>
      <c r="X80" s="136">
        <v>67.540000000000006</v>
      </c>
      <c r="Y80" s="250">
        <f t="shared" si="5"/>
        <v>-2.9318769761425556E-2</v>
      </c>
      <c r="Z80" s="251"/>
      <c r="AA80" s="253">
        <v>44901</v>
      </c>
      <c r="AB80" s="136">
        <v>35.58</v>
      </c>
      <c r="AC80" s="250">
        <f t="shared" si="6"/>
        <v>-4.9933244325767845E-2</v>
      </c>
      <c r="AD80" s="251"/>
      <c r="AE80" s="253">
        <v>44901</v>
      </c>
      <c r="AF80" s="136">
        <v>58.8</v>
      </c>
      <c r="AG80" s="250">
        <f t="shared" si="7"/>
        <v>-3.289473684210531E-2</v>
      </c>
      <c r="AH80" s="251"/>
      <c r="AI80" s="253">
        <v>44901</v>
      </c>
      <c r="AJ80" s="136">
        <v>206.03</v>
      </c>
      <c r="AK80" s="250">
        <f t="shared" si="8"/>
        <v>-3.4309819545347953E-2</v>
      </c>
      <c r="AL80" s="251"/>
      <c r="AM80" s="253">
        <v>44901</v>
      </c>
      <c r="AN80" s="136">
        <v>45.39</v>
      </c>
      <c r="AO80" s="250">
        <f t="shared" si="9"/>
        <v>-3.2814830598764111E-2</v>
      </c>
      <c r="AP80" s="251"/>
      <c r="AQ80" s="253">
        <v>44901</v>
      </c>
      <c r="AR80" s="136">
        <v>227.7</v>
      </c>
      <c r="AS80" s="250">
        <f t="shared" si="10"/>
        <v>-4.7638964406708784E-2</v>
      </c>
      <c r="AT80" s="251"/>
      <c r="AU80" s="253">
        <v>44901</v>
      </c>
      <c r="AV80" s="136">
        <v>66.23</v>
      </c>
      <c r="AW80" s="250">
        <f t="shared" si="11"/>
        <v>-3.1441942088329844E-2</v>
      </c>
      <c r="AX80" s="251"/>
      <c r="AY80" s="253">
        <v>44901</v>
      </c>
      <c r="AZ80" s="252">
        <v>3674.84</v>
      </c>
      <c r="BA80" s="250">
        <f t="shared" si="12"/>
        <v>-5.7941069405208045E-2</v>
      </c>
    </row>
    <row r="81" spans="3:53" ht="14.25" customHeight="1" x14ac:dyDescent="0.35">
      <c r="C81" s="253">
        <v>44687</v>
      </c>
      <c r="D81" s="249">
        <v>162.52000000000001</v>
      </c>
      <c r="E81" s="250">
        <f t="shared" si="0"/>
        <v>-1.4134061267819131E-2</v>
      </c>
      <c r="G81" s="253">
        <v>44687</v>
      </c>
      <c r="H81" s="136">
        <v>61.41</v>
      </c>
      <c r="I81" s="250">
        <f t="shared" si="1"/>
        <v>-2.4773701762744182E-2</v>
      </c>
      <c r="K81" s="253">
        <v>44687</v>
      </c>
      <c r="L81" s="136">
        <v>35.49</v>
      </c>
      <c r="M81" s="250">
        <f t="shared" si="2"/>
        <v>1.6032064128256529E-2</v>
      </c>
      <c r="O81" s="253">
        <v>44687</v>
      </c>
      <c r="P81" s="136">
        <v>43.52</v>
      </c>
      <c r="Q81" s="250">
        <f t="shared" si="3"/>
        <v>-2.0040531411844031E-2</v>
      </c>
      <c r="R81" s="251"/>
      <c r="S81" s="253">
        <v>44687</v>
      </c>
      <c r="T81" s="136">
        <v>45.84</v>
      </c>
      <c r="U81" s="250">
        <f t="shared" si="4"/>
        <v>1.5957446808510856E-2</v>
      </c>
      <c r="V81" s="251"/>
      <c r="W81" s="253">
        <v>44687</v>
      </c>
      <c r="X81" s="136">
        <v>69.58</v>
      </c>
      <c r="Y81" s="250">
        <f t="shared" si="5"/>
        <v>2.685950413223126E-2</v>
      </c>
      <c r="Z81" s="251"/>
      <c r="AA81" s="253">
        <v>44687</v>
      </c>
      <c r="AB81" s="136">
        <v>37.450000000000003</v>
      </c>
      <c r="AC81" s="250">
        <f t="shared" si="6"/>
        <v>3.1680440771350016E-2</v>
      </c>
      <c r="AD81" s="251"/>
      <c r="AE81" s="253">
        <v>44687</v>
      </c>
      <c r="AF81" s="136">
        <v>60.8</v>
      </c>
      <c r="AG81" s="250">
        <f t="shared" si="7"/>
        <v>-2.5797147892965833E-2</v>
      </c>
      <c r="AH81" s="251"/>
      <c r="AI81" s="253">
        <v>44687</v>
      </c>
      <c r="AJ81" s="136">
        <v>213.35</v>
      </c>
      <c r="AK81" s="250">
        <f t="shared" si="8"/>
        <v>1.9934984224113217E-2</v>
      </c>
      <c r="AL81" s="251"/>
      <c r="AM81" s="253">
        <v>44687</v>
      </c>
      <c r="AN81" s="136">
        <v>46.93</v>
      </c>
      <c r="AO81" s="250">
        <f t="shared" si="9"/>
        <v>2.6240979663240793E-2</v>
      </c>
      <c r="AP81" s="251"/>
      <c r="AQ81" s="253">
        <v>44687</v>
      </c>
      <c r="AR81" s="136">
        <v>239.09</v>
      </c>
      <c r="AS81" s="250">
        <f t="shared" si="10"/>
        <v>-1.7424896231455267E-2</v>
      </c>
      <c r="AT81" s="251"/>
      <c r="AU81" s="253">
        <v>44687</v>
      </c>
      <c r="AV81" s="136">
        <v>68.38</v>
      </c>
      <c r="AW81" s="250">
        <f t="shared" si="11"/>
        <v>-1.4622020763277455E-4</v>
      </c>
      <c r="AX81" s="251"/>
      <c r="AY81" s="253">
        <v>44687</v>
      </c>
      <c r="AZ81" s="252">
        <v>3900.86</v>
      </c>
      <c r="BA81" s="250">
        <f t="shared" si="12"/>
        <v>-5.054836998057699E-2</v>
      </c>
    </row>
    <row r="82" spans="3:53" ht="14.25" customHeight="1" x14ac:dyDescent="0.35">
      <c r="C82" s="248" t="s">
        <v>349</v>
      </c>
      <c r="D82" s="249">
        <v>164.85</v>
      </c>
      <c r="E82" s="250">
        <f t="shared" si="0"/>
        <v>-4.0286429527857104E-2</v>
      </c>
      <c r="G82" s="248" t="s">
        <v>349</v>
      </c>
      <c r="H82" s="136">
        <v>62.97</v>
      </c>
      <c r="I82" s="250">
        <f t="shared" si="1"/>
        <v>-2.6437847866419451E-2</v>
      </c>
      <c r="K82" s="248" t="s">
        <v>349</v>
      </c>
      <c r="L82" s="136">
        <v>34.93</v>
      </c>
      <c r="M82" s="250">
        <f t="shared" si="2"/>
        <v>-7.106310403638405E-3</v>
      </c>
      <c r="O82" s="248" t="s">
        <v>349</v>
      </c>
      <c r="P82" s="136">
        <v>44.41</v>
      </c>
      <c r="Q82" s="250">
        <f t="shared" si="3"/>
        <v>-9.5896520963426601E-3</v>
      </c>
      <c r="R82" s="251"/>
      <c r="S82" s="248" t="s">
        <v>349</v>
      </c>
      <c r="T82" s="136">
        <v>45.12</v>
      </c>
      <c r="U82" s="250">
        <f t="shared" si="4"/>
        <v>-7.2177668106107484E-2</v>
      </c>
      <c r="V82" s="251"/>
      <c r="W82" s="248" t="s">
        <v>349</v>
      </c>
      <c r="X82" s="136">
        <v>67.760000000000005</v>
      </c>
      <c r="Y82" s="250">
        <f t="shared" si="5"/>
        <v>-2.9365420426872846E-2</v>
      </c>
      <c r="Z82" s="251"/>
      <c r="AA82" s="248" t="s">
        <v>349</v>
      </c>
      <c r="AB82" s="136">
        <v>36.299999999999997</v>
      </c>
      <c r="AC82" s="250">
        <f t="shared" si="6"/>
        <v>-4.0444091990483821E-2</v>
      </c>
      <c r="AD82" s="251"/>
      <c r="AE82" s="248" t="s">
        <v>349</v>
      </c>
      <c r="AF82" s="136">
        <v>62.41</v>
      </c>
      <c r="AG82" s="250">
        <f t="shared" si="7"/>
        <v>-2.1173149309912209E-2</v>
      </c>
      <c r="AH82" s="251"/>
      <c r="AI82" s="248" t="s">
        <v>349</v>
      </c>
      <c r="AJ82" s="136">
        <v>209.18</v>
      </c>
      <c r="AK82" s="250">
        <f t="shared" si="8"/>
        <v>-1.6132825360989589E-2</v>
      </c>
      <c r="AL82" s="251"/>
      <c r="AM82" s="248" t="s">
        <v>349</v>
      </c>
      <c r="AN82" s="136">
        <v>45.73</v>
      </c>
      <c r="AO82" s="250">
        <f t="shared" si="9"/>
        <v>-5.1441609624559348E-2</v>
      </c>
      <c r="AP82" s="251"/>
      <c r="AQ82" s="248" t="s">
        <v>349</v>
      </c>
      <c r="AR82" s="136">
        <v>243.33</v>
      </c>
      <c r="AS82" s="250">
        <f t="shared" si="10"/>
        <v>-1.2098574966505571E-2</v>
      </c>
      <c r="AT82" s="251"/>
      <c r="AU82" s="248" t="s">
        <v>349</v>
      </c>
      <c r="AV82" s="136">
        <v>68.39</v>
      </c>
      <c r="AW82" s="250">
        <f t="shared" si="11"/>
        <v>-2.1462297896694849E-2</v>
      </c>
      <c r="AX82" s="251"/>
      <c r="AY82" s="248" t="s">
        <v>349</v>
      </c>
      <c r="AZ82" s="252">
        <v>4108.54</v>
      </c>
      <c r="BA82" s="250">
        <f t="shared" si="12"/>
        <v>-1.1952172072799971E-2</v>
      </c>
    </row>
    <row r="83" spans="3:53" ht="14.25" customHeight="1" x14ac:dyDescent="0.35">
      <c r="C83" s="248" t="s">
        <v>350</v>
      </c>
      <c r="D83" s="249">
        <v>171.77</v>
      </c>
      <c r="E83" s="250">
        <f t="shared" si="0"/>
        <v>5.8935947228900831E-2</v>
      </c>
      <c r="G83" s="248" t="s">
        <v>350</v>
      </c>
      <c r="H83" s="136">
        <v>64.680000000000007</v>
      </c>
      <c r="I83" s="250">
        <f t="shared" si="1"/>
        <v>6.0675631354542681E-2</v>
      </c>
      <c r="K83" s="248" t="s">
        <v>350</v>
      </c>
      <c r="L83" s="136">
        <v>35.18</v>
      </c>
      <c r="M83" s="250">
        <f t="shared" si="2"/>
        <v>1.7351069982648903E-2</v>
      </c>
      <c r="O83" s="248" t="s">
        <v>350</v>
      </c>
      <c r="P83" s="136">
        <v>44.84</v>
      </c>
      <c r="Q83" s="250">
        <f t="shared" si="3"/>
        <v>2.3510614015065157E-2</v>
      </c>
      <c r="R83" s="251"/>
      <c r="S83" s="248" t="s">
        <v>350</v>
      </c>
      <c r="T83" s="136">
        <v>48.63</v>
      </c>
      <c r="U83" s="250">
        <f t="shared" si="4"/>
        <v>7.6668048072938699E-3</v>
      </c>
      <c r="V83" s="251"/>
      <c r="W83" s="248" t="s">
        <v>350</v>
      </c>
      <c r="X83" s="136">
        <v>69.81</v>
      </c>
      <c r="Y83" s="250">
        <f t="shared" si="5"/>
        <v>3.0558015943312755E-2</v>
      </c>
      <c r="Z83" s="251"/>
      <c r="AA83" s="248" t="s">
        <v>350</v>
      </c>
      <c r="AB83" s="136">
        <v>37.83</v>
      </c>
      <c r="AC83" s="250">
        <f t="shared" si="6"/>
        <v>-1.407349491790455E-2</v>
      </c>
      <c r="AD83" s="251"/>
      <c r="AE83" s="248" t="s">
        <v>350</v>
      </c>
      <c r="AF83" s="136">
        <v>63.76</v>
      </c>
      <c r="AG83" s="250">
        <f t="shared" si="7"/>
        <v>4.2000326850792691E-2</v>
      </c>
      <c r="AH83" s="251"/>
      <c r="AI83" s="248" t="s">
        <v>350</v>
      </c>
      <c r="AJ83" s="136">
        <v>212.61</v>
      </c>
      <c r="AK83" s="250">
        <f t="shared" si="8"/>
        <v>2.720069571939332E-2</v>
      </c>
      <c r="AL83" s="251"/>
      <c r="AM83" s="248" t="s">
        <v>350</v>
      </c>
      <c r="AN83" s="136">
        <v>48.21</v>
      </c>
      <c r="AO83" s="250">
        <f t="shared" si="9"/>
        <v>4.7360417119270082E-2</v>
      </c>
      <c r="AP83" s="251"/>
      <c r="AQ83" s="248" t="s">
        <v>350</v>
      </c>
      <c r="AR83" s="136">
        <v>246.31</v>
      </c>
      <c r="AS83" s="250">
        <f t="shared" si="10"/>
        <v>5.0362473347548065E-2</v>
      </c>
      <c r="AT83" s="251"/>
      <c r="AU83" s="248" t="s">
        <v>350</v>
      </c>
      <c r="AV83" s="136">
        <v>69.89</v>
      </c>
      <c r="AW83" s="250">
        <f t="shared" si="11"/>
        <v>4.2978659901507177E-2</v>
      </c>
      <c r="AX83" s="251"/>
      <c r="AY83" s="248" t="s">
        <v>350</v>
      </c>
      <c r="AZ83" s="252">
        <v>4158.24</v>
      </c>
      <c r="BA83" s="250">
        <f t="shared" si="12"/>
        <v>6.5843705784649265E-2</v>
      </c>
    </row>
    <row r="84" spans="3:53" ht="14.25" customHeight="1" x14ac:dyDescent="0.35">
      <c r="C84" s="248" t="s">
        <v>351</v>
      </c>
      <c r="D84" s="249">
        <v>162.21</v>
      </c>
      <c r="E84" s="250">
        <f t="shared" si="0"/>
        <v>-6.6256044209072051E-2</v>
      </c>
      <c r="G84" s="248" t="s">
        <v>351</v>
      </c>
      <c r="H84" s="136">
        <v>60.98</v>
      </c>
      <c r="I84" s="250">
        <f t="shared" si="1"/>
        <v>-7.2124163116250806E-2</v>
      </c>
      <c r="K84" s="248" t="s">
        <v>351</v>
      </c>
      <c r="L84" s="136">
        <v>34.58</v>
      </c>
      <c r="M84" s="250">
        <f t="shared" si="2"/>
        <v>-7.0679924751410939E-2</v>
      </c>
      <c r="O84" s="248" t="s">
        <v>351</v>
      </c>
      <c r="P84" s="136">
        <v>43.81</v>
      </c>
      <c r="Q84" s="250">
        <f t="shared" si="3"/>
        <v>-1.4398200224971847E-2</v>
      </c>
      <c r="R84" s="251"/>
      <c r="S84" s="248" t="s">
        <v>351</v>
      </c>
      <c r="T84" s="136">
        <v>48.26</v>
      </c>
      <c r="U84" s="250">
        <f t="shared" si="4"/>
        <v>-9.3027626386017692E-2</v>
      </c>
      <c r="V84" s="251"/>
      <c r="W84" s="248" t="s">
        <v>351</v>
      </c>
      <c r="X84" s="136">
        <v>67.739999999999995</v>
      </c>
      <c r="Y84" s="250">
        <f t="shared" si="5"/>
        <v>-7.218189289138488E-2</v>
      </c>
      <c r="Z84" s="251"/>
      <c r="AA84" s="248" t="s">
        <v>351</v>
      </c>
      <c r="AB84" s="136">
        <v>38.369999999999997</v>
      </c>
      <c r="AC84" s="250">
        <f t="shared" si="6"/>
        <v>-0.13366448408218568</v>
      </c>
      <c r="AD84" s="251"/>
      <c r="AE84" s="248" t="s">
        <v>351</v>
      </c>
      <c r="AF84" s="136">
        <v>61.19</v>
      </c>
      <c r="AG84" s="250">
        <f t="shared" si="7"/>
        <v>-7.8186200662850203E-2</v>
      </c>
      <c r="AH84" s="251"/>
      <c r="AI84" s="248" t="s">
        <v>351</v>
      </c>
      <c r="AJ84" s="136">
        <v>206.98</v>
      </c>
      <c r="AK84" s="250">
        <f t="shared" si="8"/>
        <v>-8.3794431410738834E-2</v>
      </c>
      <c r="AL84" s="251"/>
      <c r="AM84" s="248" t="s">
        <v>351</v>
      </c>
      <c r="AN84" s="136">
        <v>46.03</v>
      </c>
      <c r="AO84" s="250">
        <f t="shared" si="9"/>
        <v>-8.9416419386745716E-2</v>
      </c>
      <c r="AP84" s="251"/>
      <c r="AQ84" s="248" t="s">
        <v>351</v>
      </c>
      <c r="AR84" s="136">
        <v>234.5</v>
      </c>
      <c r="AS84" s="250">
        <f t="shared" si="10"/>
        <v>-5.7930258717660221E-2</v>
      </c>
      <c r="AT84" s="251"/>
      <c r="AU84" s="248" t="s">
        <v>351</v>
      </c>
      <c r="AV84" s="136">
        <v>67.010000000000005</v>
      </c>
      <c r="AW84" s="250">
        <f t="shared" si="11"/>
        <v>-8.33105335157317E-2</v>
      </c>
      <c r="AX84" s="251"/>
      <c r="AY84" s="248" t="s">
        <v>351</v>
      </c>
      <c r="AZ84" s="252">
        <v>3901.36</v>
      </c>
      <c r="BA84" s="250">
        <f t="shared" si="12"/>
        <v>-3.0450633590878406E-2</v>
      </c>
    </row>
    <row r="85" spans="3:53" ht="14.25" customHeight="1" x14ac:dyDescent="0.35">
      <c r="C85" s="253">
        <v>44778</v>
      </c>
      <c r="D85" s="249">
        <v>173.72</v>
      </c>
      <c r="E85" s="250">
        <f t="shared" si="0"/>
        <v>1.9423742738102323E-2</v>
      </c>
      <c r="G85" s="253">
        <v>44778</v>
      </c>
      <c r="H85" s="136">
        <v>65.72</v>
      </c>
      <c r="I85" s="250">
        <f t="shared" si="1"/>
        <v>1.5137472968798305E-2</v>
      </c>
      <c r="K85" s="253">
        <v>44778</v>
      </c>
      <c r="L85" s="136">
        <v>37.21</v>
      </c>
      <c r="M85" s="250">
        <f t="shared" si="2"/>
        <v>6.7640692640693612E-3</v>
      </c>
      <c r="O85" s="253">
        <v>44778</v>
      </c>
      <c r="P85" s="136">
        <v>44.45</v>
      </c>
      <c r="Q85" s="250">
        <f t="shared" si="3"/>
        <v>2.5611444393170313E-2</v>
      </c>
      <c r="R85" s="251"/>
      <c r="S85" s="253">
        <v>44778</v>
      </c>
      <c r="T85" s="136">
        <v>53.21</v>
      </c>
      <c r="U85" s="250">
        <f t="shared" si="4"/>
        <v>2.3072486060373043E-2</v>
      </c>
      <c r="V85" s="251"/>
      <c r="W85" s="253">
        <v>44778</v>
      </c>
      <c r="X85" s="136">
        <v>73.010000000000005</v>
      </c>
      <c r="Y85" s="250">
        <f t="shared" si="5"/>
        <v>3.8498556304138454E-3</v>
      </c>
      <c r="Z85" s="251"/>
      <c r="AA85" s="253">
        <v>44778</v>
      </c>
      <c r="AB85" s="136">
        <v>44.29</v>
      </c>
      <c r="AC85" s="250">
        <f t="shared" si="6"/>
        <v>1.605872906629946E-2</v>
      </c>
      <c r="AD85" s="251"/>
      <c r="AE85" s="253">
        <v>44778</v>
      </c>
      <c r="AF85" s="136">
        <v>66.38</v>
      </c>
      <c r="AG85" s="250">
        <f t="shared" si="7"/>
        <v>9.8889396013994713E-3</v>
      </c>
      <c r="AH85" s="251"/>
      <c r="AI85" s="253">
        <v>44778</v>
      </c>
      <c r="AJ85" s="136">
        <v>225.91</v>
      </c>
      <c r="AK85" s="250">
        <f t="shared" si="8"/>
        <v>-6.193320061933516E-4</v>
      </c>
      <c r="AL85" s="251"/>
      <c r="AM85" s="253">
        <v>44778</v>
      </c>
      <c r="AN85" s="136">
        <v>50.55</v>
      </c>
      <c r="AO85" s="250">
        <f t="shared" si="9"/>
        <v>1.7716931749546916E-2</v>
      </c>
      <c r="AP85" s="251"/>
      <c r="AQ85" s="253">
        <v>44778</v>
      </c>
      <c r="AR85" s="136">
        <v>248.92</v>
      </c>
      <c r="AS85" s="250">
        <f t="shared" si="10"/>
        <v>5.8592960762919866E-3</v>
      </c>
      <c r="AT85" s="251"/>
      <c r="AU85" s="253">
        <v>44778</v>
      </c>
      <c r="AV85" s="136">
        <v>73.099999999999994</v>
      </c>
      <c r="AW85" s="250">
        <f t="shared" si="11"/>
        <v>2.3809523809523725E-2</v>
      </c>
      <c r="AX85" s="251"/>
      <c r="AY85" s="253">
        <v>44778</v>
      </c>
      <c r="AZ85" s="252">
        <v>4023.89</v>
      </c>
      <c r="BA85" s="250">
        <f t="shared" si="12"/>
        <v>-2.4118796897660721E-2</v>
      </c>
    </row>
    <row r="86" spans="3:53" ht="14.25" customHeight="1" x14ac:dyDescent="0.35">
      <c r="C86" s="253">
        <v>44566</v>
      </c>
      <c r="D86" s="249">
        <v>170.41</v>
      </c>
      <c r="E86" s="250">
        <f t="shared" ref="E86:E149" si="13">D86/D87-1</f>
        <v>-7.5709044318910124E-3</v>
      </c>
      <c r="G86" s="253">
        <v>44566</v>
      </c>
      <c r="H86" s="136">
        <v>64.739999999999995</v>
      </c>
      <c r="I86" s="250">
        <f t="shared" ref="I86:I149" si="14">H86/H87-1</f>
        <v>2.012072434607548E-3</v>
      </c>
      <c r="K86" s="253">
        <v>44566</v>
      </c>
      <c r="L86" s="136">
        <v>36.96</v>
      </c>
      <c r="M86" s="250">
        <f t="shared" ref="M86:M149" si="15">L86/L87-1</f>
        <v>-1.1764705882352899E-2</v>
      </c>
      <c r="O86" s="253">
        <v>44566</v>
      </c>
      <c r="P86" s="136">
        <v>43.34</v>
      </c>
      <c r="Q86" s="250">
        <f t="shared" ref="Q86:Q149" si="16">P86/P87-1</f>
        <v>1.1671335200746924E-2</v>
      </c>
      <c r="R86" s="251"/>
      <c r="S86" s="253">
        <v>44566</v>
      </c>
      <c r="T86" s="136">
        <v>52.01</v>
      </c>
      <c r="U86" s="250">
        <f t="shared" ref="U86:U149" si="17">T86/T87-1</f>
        <v>-7.2532926130941533E-3</v>
      </c>
      <c r="V86" s="251"/>
      <c r="W86" s="253">
        <v>44566</v>
      </c>
      <c r="X86" s="136">
        <v>72.73</v>
      </c>
      <c r="Y86" s="250">
        <f t="shared" ref="Y86:Y149" si="18">X86/X87-1</f>
        <v>6.1751824817518397E-2</v>
      </c>
      <c r="Z86" s="251"/>
      <c r="AA86" s="253">
        <v>44566</v>
      </c>
      <c r="AB86" s="136">
        <v>43.59</v>
      </c>
      <c r="AC86" s="250">
        <f t="shared" ref="AC86:AC149" si="19">AB86/AB87-1</f>
        <v>2.2519352568613593E-2</v>
      </c>
      <c r="AD86" s="251"/>
      <c r="AE86" s="253">
        <v>44566</v>
      </c>
      <c r="AF86" s="136">
        <v>65.73</v>
      </c>
      <c r="AG86" s="250">
        <f t="shared" ref="AG86:AG149" si="20">AF86/AF87-1</f>
        <v>1.9385856079404462E-2</v>
      </c>
      <c r="AH86" s="251"/>
      <c r="AI86" s="253">
        <v>44566</v>
      </c>
      <c r="AJ86" s="136">
        <v>226.05</v>
      </c>
      <c r="AK86" s="250">
        <f t="shared" ref="AK86:AK149" si="21">AJ86/AJ87-1</f>
        <v>1.2402002037472659E-3</v>
      </c>
      <c r="AL86" s="251"/>
      <c r="AM86" s="253">
        <v>44566</v>
      </c>
      <c r="AN86" s="136">
        <v>49.67</v>
      </c>
      <c r="AO86" s="250">
        <f t="shared" ref="AO86:AO149" si="22">AN86/AN87-1</f>
        <v>5.1884794578568538E-2</v>
      </c>
      <c r="AP86" s="251"/>
      <c r="AQ86" s="253">
        <v>44566</v>
      </c>
      <c r="AR86" s="136">
        <v>247.47</v>
      </c>
      <c r="AS86" s="250">
        <f t="shared" ref="AS86:AS149" si="23">AR86/AR87-1</f>
        <v>5.6077044983542379E-3</v>
      </c>
      <c r="AT86" s="251"/>
      <c r="AU86" s="253">
        <v>44566</v>
      </c>
      <c r="AV86" s="136">
        <v>71.400000000000006</v>
      </c>
      <c r="AW86" s="250">
        <f t="shared" ref="AW86:AW149" si="24">AV86/AV87-1</f>
        <v>9.4726424430935374E-3</v>
      </c>
      <c r="AX86" s="251"/>
      <c r="AY86" s="253">
        <v>44566</v>
      </c>
      <c r="AZ86" s="252">
        <v>4123.34</v>
      </c>
      <c r="BA86" s="250">
        <f t="shared" ref="BA86:BA149" si="25">AZ86/AZ87-1</f>
        <v>-2.0789316372736844E-3</v>
      </c>
    </row>
    <row r="87" spans="3:53" ht="14.25" customHeight="1" x14ac:dyDescent="0.35">
      <c r="C87" s="248" t="s">
        <v>352</v>
      </c>
      <c r="D87" s="249">
        <v>171.71</v>
      </c>
      <c r="E87" s="250">
        <f t="shared" si="13"/>
        <v>-2.5559105431309792E-3</v>
      </c>
      <c r="G87" s="248" t="s">
        <v>352</v>
      </c>
      <c r="H87" s="136">
        <v>64.61</v>
      </c>
      <c r="I87" s="250">
        <f t="shared" si="14"/>
        <v>-9.808429118773998E-3</v>
      </c>
      <c r="K87" s="248" t="s">
        <v>352</v>
      </c>
      <c r="L87" s="136">
        <v>37.4</v>
      </c>
      <c r="M87" s="250">
        <f t="shared" si="15"/>
        <v>1.08108108108107E-2</v>
      </c>
      <c r="O87" s="248" t="s">
        <v>352</v>
      </c>
      <c r="P87" s="136">
        <v>42.84</v>
      </c>
      <c r="Q87" s="250">
        <f t="shared" si="16"/>
        <v>2.3348120476307521E-4</v>
      </c>
      <c r="R87" s="251"/>
      <c r="S87" s="248" t="s">
        <v>352</v>
      </c>
      <c r="T87" s="136">
        <v>52.39</v>
      </c>
      <c r="U87" s="250">
        <f t="shared" si="17"/>
        <v>-2.2209779768570304E-2</v>
      </c>
      <c r="V87" s="251"/>
      <c r="W87" s="248" t="s">
        <v>352</v>
      </c>
      <c r="X87" s="136">
        <v>68.5</v>
      </c>
      <c r="Y87" s="250">
        <f t="shared" si="18"/>
        <v>-1.1971729410067744E-2</v>
      </c>
      <c r="Z87" s="251"/>
      <c r="AA87" s="248" t="s">
        <v>352</v>
      </c>
      <c r="AB87" s="136">
        <v>42.63</v>
      </c>
      <c r="AC87" s="250">
        <f t="shared" si="19"/>
        <v>-1.2737378415933254E-2</v>
      </c>
      <c r="AD87" s="251"/>
      <c r="AE87" s="248" t="s">
        <v>352</v>
      </c>
      <c r="AF87" s="136">
        <v>64.48</v>
      </c>
      <c r="AG87" s="250">
        <f t="shared" si="20"/>
        <v>-8.9148478327697456E-3</v>
      </c>
      <c r="AH87" s="251"/>
      <c r="AI87" s="248" t="s">
        <v>352</v>
      </c>
      <c r="AJ87" s="136">
        <v>225.77</v>
      </c>
      <c r="AK87" s="250">
        <f t="shared" si="21"/>
        <v>7.2722405639333854E-3</v>
      </c>
      <c r="AL87" s="251"/>
      <c r="AM87" s="248" t="s">
        <v>352</v>
      </c>
      <c r="AN87" s="136">
        <v>47.22</v>
      </c>
      <c r="AO87" s="250">
        <f t="shared" si="22"/>
        <v>5.965061780996983E-3</v>
      </c>
      <c r="AP87" s="251"/>
      <c r="AQ87" s="248" t="s">
        <v>352</v>
      </c>
      <c r="AR87" s="136">
        <v>246.09</v>
      </c>
      <c r="AS87" s="250">
        <f t="shared" si="23"/>
        <v>-1.9405482945489383E-2</v>
      </c>
      <c r="AT87" s="251"/>
      <c r="AU87" s="248" t="s">
        <v>352</v>
      </c>
      <c r="AV87" s="136">
        <v>70.73</v>
      </c>
      <c r="AW87" s="250">
        <f t="shared" si="24"/>
        <v>-2.4413793103448267E-2</v>
      </c>
      <c r="AX87" s="251"/>
      <c r="AY87" s="248" t="s">
        <v>352</v>
      </c>
      <c r="AZ87" s="252">
        <v>4131.93</v>
      </c>
      <c r="BA87" s="250">
        <f t="shared" si="25"/>
        <v>-3.2738109172288699E-2</v>
      </c>
    </row>
    <row r="88" spans="3:53" ht="14.25" customHeight="1" x14ac:dyDescent="0.35">
      <c r="C88" s="248" t="s">
        <v>353</v>
      </c>
      <c r="D88" s="249">
        <v>172.15</v>
      </c>
      <c r="E88" s="250">
        <f t="shared" si="13"/>
        <v>1.4543339150669965E-3</v>
      </c>
      <c r="G88" s="248" t="s">
        <v>353</v>
      </c>
      <c r="H88" s="136">
        <v>65.25</v>
      </c>
      <c r="I88" s="250">
        <f t="shared" si="14"/>
        <v>3.5373731159644706E-3</v>
      </c>
      <c r="K88" s="248" t="s">
        <v>353</v>
      </c>
      <c r="L88" s="136">
        <v>37</v>
      </c>
      <c r="M88" s="250">
        <f t="shared" si="15"/>
        <v>-6.4446831364125545E-3</v>
      </c>
      <c r="O88" s="248" t="s">
        <v>353</v>
      </c>
      <c r="P88" s="136">
        <v>42.83</v>
      </c>
      <c r="Q88" s="250">
        <f t="shared" si="16"/>
        <v>3.704600484261511E-2</v>
      </c>
      <c r="R88" s="251"/>
      <c r="S88" s="248" t="s">
        <v>353</v>
      </c>
      <c r="T88" s="136">
        <v>53.58</v>
      </c>
      <c r="U88" s="250">
        <f t="shared" si="17"/>
        <v>2.8074115665355226E-3</v>
      </c>
      <c r="V88" s="251"/>
      <c r="W88" s="248" t="s">
        <v>353</v>
      </c>
      <c r="X88" s="136">
        <v>69.33</v>
      </c>
      <c r="Y88" s="250">
        <f t="shared" si="18"/>
        <v>2.1361225692398289E-2</v>
      </c>
      <c r="Z88" s="251"/>
      <c r="AA88" s="248" t="s">
        <v>353</v>
      </c>
      <c r="AB88" s="136">
        <v>43.18</v>
      </c>
      <c r="AC88" s="250">
        <f t="shared" si="19"/>
        <v>2.1045164341451983E-2</v>
      </c>
      <c r="AD88" s="251"/>
      <c r="AE88" s="248" t="s">
        <v>353</v>
      </c>
      <c r="AF88" s="136">
        <v>65.06</v>
      </c>
      <c r="AG88" s="250">
        <f t="shared" si="20"/>
        <v>2.1029504080351646E-2</v>
      </c>
      <c r="AH88" s="251"/>
      <c r="AI88" s="248" t="s">
        <v>353</v>
      </c>
      <c r="AJ88" s="136">
        <v>224.14</v>
      </c>
      <c r="AK88" s="250">
        <f t="shared" si="21"/>
        <v>-8.1423134790689078E-3</v>
      </c>
      <c r="AL88" s="251"/>
      <c r="AM88" s="248" t="s">
        <v>353</v>
      </c>
      <c r="AN88" s="136">
        <v>46.94</v>
      </c>
      <c r="AO88" s="250">
        <f t="shared" si="22"/>
        <v>1.6017316017315819E-2</v>
      </c>
      <c r="AP88" s="251"/>
      <c r="AQ88" s="248" t="s">
        <v>353</v>
      </c>
      <c r="AR88" s="136">
        <v>250.96</v>
      </c>
      <c r="AS88" s="250">
        <f t="shared" si="23"/>
        <v>-1.8296078275394922E-3</v>
      </c>
      <c r="AT88" s="251"/>
      <c r="AU88" s="248" t="s">
        <v>353</v>
      </c>
      <c r="AV88" s="136">
        <v>72.5</v>
      </c>
      <c r="AW88" s="250">
        <f t="shared" si="24"/>
        <v>2.2278623801466502E-2</v>
      </c>
      <c r="AX88" s="251"/>
      <c r="AY88" s="248" t="s">
        <v>353</v>
      </c>
      <c r="AZ88" s="252">
        <v>4271.78</v>
      </c>
      <c r="BA88" s="250">
        <f t="shared" si="25"/>
        <v>-2.7503135963065195E-2</v>
      </c>
    </row>
    <row r="89" spans="3:53" ht="14.25" customHeight="1" x14ac:dyDescent="0.35">
      <c r="C89" s="253">
        <v>44838</v>
      </c>
      <c r="D89" s="249">
        <v>171.9</v>
      </c>
      <c r="E89" s="250">
        <f t="shared" si="13"/>
        <v>-7.1044879570264508E-3</v>
      </c>
      <c r="G89" s="253">
        <v>44838</v>
      </c>
      <c r="H89" s="136">
        <v>65.02</v>
      </c>
      <c r="I89" s="250">
        <f t="shared" si="14"/>
        <v>1.8643271189096033E-2</v>
      </c>
      <c r="K89" s="253">
        <v>44838</v>
      </c>
      <c r="L89" s="136">
        <v>37.24</v>
      </c>
      <c r="M89" s="250">
        <f t="shared" si="15"/>
        <v>-1.0889774236387706E-2</v>
      </c>
      <c r="O89" s="253">
        <v>44838</v>
      </c>
      <c r="P89" s="136">
        <v>41.3</v>
      </c>
      <c r="Q89" s="250">
        <f t="shared" si="16"/>
        <v>1.2006861063464713E-2</v>
      </c>
      <c r="R89" s="251"/>
      <c r="S89" s="253">
        <v>44838</v>
      </c>
      <c r="T89" s="136">
        <v>53.43</v>
      </c>
      <c r="U89" s="250">
        <f t="shared" si="17"/>
        <v>1.3659647125782604E-2</v>
      </c>
      <c r="V89" s="251"/>
      <c r="W89" s="253">
        <v>44838</v>
      </c>
      <c r="X89" s="136">
        <v>67.88</v>
      </c>
      <c r="Y89" s="250">
        <f t="shared" si="18"/>
        <v>4.7365304914148698E-3</v>
      </c>
      <c r="Z89" s="251"/>
      <c r="AA89" s="253">
        <v>44838</v>
      </c>
      <c r="AB89" s="136">
        <v>42.29</v>
      </c>
      <c r="AC89" s="250">
        <f t="shared" si="19"/>
        <v>3.2975085490962508E-2</v>
      </c>
      <c r="AD89" s="251"/>
      <c r="AE89" s="253">
        <v>44838</v>
      </c>
      <c r="AF89" s="136">
        <v>63.72</v>
      </c>
      <c r="AG89" s="250">
        <f t="shared" si="20"/>
        <v>5.0473186119874835E-3</v>
      </c>
      <c r="AH89" s="251"/>
      <c r="AI89" s="253">
        <v>44838</v>
      </c>
      <c r="AJ89" s="136">
        <v>225.98</v>
      </c>
      <c r="AK89" s="250">
        <f t="shared" si="21"/>
        <v>1.0101913105667659E-2</v>
      </c>
      <c r="AL89" s="251"/>
      <c r="AM89" s="253">
        <v>44838</v>
      </c>
      <c r="AN89" s="136">
        <v>46.2</v>
      </c>
      <c r="AO89" s="250">
        <f t="shared" si="22"/>
        <v>1.6054541455905014E-2</v>
      </c>
      <c r="AP89" s="251"/>
      <c r="AQ89" s="253">
        <v>44838</v>
      </c>
      <c r="AR89" s="136">
        <v>251.42</v>
      </c>
      <c r="AS89" s="250">
        <f t="shared" si="23"/>
        <v>2.8470915487196269E-2</v>
      </c>
      <c r="AT89" s="251"/>
      <c r="AU89" s="253">
        <v>44838</v>
      </c>
      <c r="AV89" s="136">
        <v>70.92</v>
      </c>
      <c r="AW89" s="250">
        <f t="shared" si="24"/>
        <v>1.0688328345446862E-2</v>
      </c>
      <c r="AX89" s="251"/>
      <c r="AY89" s="253">
        <v>44838</v>
      </c>
      <c r="AZ89" s="252">
        <v>4392.59</v>
      </c>
      <c r="BA89" s="250">
        <f t="shared" si="25"/>
        <v>-2.1319971124796E-2</v>
      </c>
    </row>
    <row r="90" spans="3:53" ht="14.25" customHeight="1" x14ac:dyDescent="0.35">
      <c r="C90" s="253">
        <v>44624</v>
      </c>
      <c r="D90" s="249">
        <v>173.13</v>
      </c>
      <c r="E90" s="250">
        <f t="shared" si="13"/>
        <v>1.985155513666359E-2</v>
      </c>
      <c r="G90" s="253">
        <v>44624</v>
      </c>
      <c r="H90" s="136">
        <v>63.83</v>
      </c>
      <c r="I90" s="250">
        <f t="shared" si="14"/>
        <v>1.5269603944647603E-2</v>
      </c>
      <c r="K90" s="253">
        <v>44624</v>
      </c>
      <c r="L90" s="136">
        <v>37.65</v>
      </c>
      <c r="M90" s="250">
        <f t="shared" si="15"/>
        <v>-1.5428870292887087E-2</v>
      </c>
      <c r="O90" s="253">
        <v>44624</v>
      </c>
      <c r="P90" s="136">
        <v>40.81</v>
      </c>
      <c r="Q90" s="250">
        <f t="shared" si="16"/>
        <v>-6.5725413826678292E-3</v>
      </c>
      <c r="R90" s="251"/>
      <c r="S90" s="253">
        <v>44624</v>
      </c>
      <c r="T90" s="136">
        <v>52.71</v>
      </c>
      <c r="U90" s="250">
        <f t="shared" si="17"/>
        <v>5.5322396032049248E-3</v>
      </c>
      <c r="V90" s="251"/>
      <c r="W90" s="253">
        <v>44624</v>
      </c>
      <c r="X90" s="136">
        <v>67.56</v>
      </c>
      <c r="Y90" s="250">
        <f t="shared" si="18"/>
        <v>2.9721079103795178E-2</v>
      </c>
      <c r="Z90" s="251"/>
      <c r="AA90" s="253">
        <v>44624</v>
      </c>
      <c r="AB90" s="136">
        <v>40.94</v>
      </c>
      <c r="AC90" s="250">
        <f t="shared" si="19"/>
        <v>2.5294264963686475E-2</v>
      </c>
      <c r="AD90" s="251"/>
      <c r="AE90" s="253">
        <v>44624</v>
      </c>
      <c r="AF90" s="136">
        <v>63.4</v>
      </c>
      <c r="AG90" s="250">
        <f t="shared" si="20"/>
        <v>-2.0462773492838648E-3</v>
      </c>
      <c r="AH90" s="251"/>
      <c r="AI90" s="253">
        <v>44624</v>
      </c>
      <c r="AJ90" s="136">
        <v>223.72</v>
      </c>
      <c r="AK90" s="250">
        <f t="shared" si="21"/>
        <v>2.2626502719751196E-2</v>
      </c>
      <c r="AL90" s="251"/>
      <c r="AM90" s="253">
        <v>44624</v>
      </c>
      <c r="AN90" s="136">
        <v>45.47</v>
      </c>
      <c r="AO90" s="250">
        <f t="shared" si="22"/>
        <v>9.3229744728080544E-3</v>
      </c>
      <c r="AP90" s="251"/>
      <c r="AQ90" s="253">
        <v>44624</v>
      </c>
      <c r="AR90" s="136">
        <v>244.46</v>
      </c>
      <c r="AS90" s="250">
        <f t="shared" si="23"/>
        <v>4.5997175987334771E-2</v>
      </c>
      <c r="AT90" s="251"/>
      <c r="AU90" s="253">
        <v>44624</v>
      </c>
      <c r="AV90" s="136">
        <v>70.17</v>
      </c>
      <c r="AW90" s="250">
        <f t="shared" si="24"/>
        <v>1.9172113289760429E-2</v>
      </c>
      <c r="AX90" s="251"/>
      <c r="AY90" s="253">
        <v>44624</v>
      </c>
      <c r="AZ90" s="252">
        <v>4488.28</v>
      </c>
      <c r="BA90" s="250">
        <f t="shared" si="25"/>
        <v>-1.266647015086253E-2</v>
      </c>
    </row>
    <row r="91" spans="3:53" ht="14.25" customHeight="1" x14ac:dyDescent="0.35">
      <c r="C91" s="248" t="s">
        <v>354</v>
      </c>
      <c r="D91" s="249">
        <v>169.76</v>
      </c>
      <c r="E91" s="250">
        <f t="shared" si="13"/>
        <v>2.7354151537158033E-2</v>
      </c>
      <c r="G91" s="248" t="s">
        <v>354</v>
      </c>
      <c r="H91" s="136">
        <v>62.87</v>
      </c>
      <c r="I91" s="250">
        <f t="shared" si="14"/>
        <v>2.1777994474240225E-2</v>
      </c>
      <c r="K91" s="248" t="s">
        <v>354</v>
      </c>
      <c r="L91" s="136">
        <v>38.24</v>
      </c>
      <c r="M91" s="250">
        <f t="shared" si="15"/>
        <v>1.756253326237367E-2</v>
      </c>
      <c r="O91" s="248" t="s">
        <v>354</v>
      </c>
      <c r="P91" s="136">
        <v>41.08</v>
      </c>
      <c r="Q91" s="250">
        <f t="shared" si="16"/>
        <v>4.3964421855146041E-2</v>
      </c>
      <c r="R91" s="251"/>
      <c r="S91" s="248" t="s">
        <v>354</v>
      </c>
      <c r="T91" s="136">
        <v>52.42</v>
      </c>
      <c r="U91" s="250">
        <f t="shared" si="17"/>
        <v>3.3925049309664779E-2</v>
      </c>
      <c r="V91" s="251"/>
      <c r="W91" s="248" t="s">
        <v>354</v>
      </c>
      <c r="X91" s="136">
        <v>65.61</v>
      </c>
      <c r="Y91" s="250">
        <f t="shared" si="18"/>
        <v>4.4412607449856756E-2</v>
      </c>
      <c r="Z91" s="251"/>
      <c r="AA91" s="248" t="s">
        <v>354</v>
      </c>
      <c r="AB91" s="136">
        <v>39.93</v>
      </c>
      <c r="AC91" s="250">
        <f t="shared" si="19"/>
        <v>1.6289132094680525E-2</v>
      </c>
      <c r="AD91" s="251"/>
      <c r="AE91" s="248" t="s">
        <v>354</v>
      </c>
      <c r="AF91" s="136">
        <v>63.53</v>
      </c>
      <c r="AG91" s="250">
        <f t="shared" si="20"/>
        <v>3.2672301690507055E-2</v>
      </c>
      <c r="AH91" s="251"/>
      <c r="AI91" s="248" t="s">
        <v>354</v>
      </c>
      <c r="AJ91" s="136">
        <v>218.77</v>
      </c>
      <c r="AK91" s="250">
        <f t="shared" si="21"/>
        <v>2.0525260064374606E-2</v>
      </c>
      <c r="AL91" s="251"/>
      <c r="AM91" s="248" t="s">
        <v>354</v>
      </c>
      <c r="AN91" s="136">
        <v>45.05</v>
      </c>
      <c r="AO91" s="250">
        <f t="shared" si="22"/>
        <v>1.1677520772512828E-2</v>
      </c>
      <c r="AP91" s="251"/>
      <c r="AQ91" s="248" t="s">
        <v>354</v>
      </c>
      <c r="AR91" s="136">
        <v>233.71</v>
      </c>
      <c r="AS91" s="250">
        <f t="shared" si="23"/>
        <v>1.8743733926158468E-2</v>
      </c>
      <c r="AT91" s="251"/>
      <c r="AU91" s="248" t="s">
        <v>354</v>
      </c>
      <c r="AV91" s="136">
        <v>68.849999999999994</v>
      </c>
      <c r="AW91" s="250">
        <f t="shared" si="24"/>
        <v>2.1664935450363521E-2</v>
      </c>
      <c r="AX91" s="251"/>
      <c r="AY91" s="248" t="s">
        <v>354</v>
      </c>
      <c r="AZ91" s="252">
        <v>4545.8599999999997</v>
      </c>
      <c r="BA91" s="250">
        <f t="shared" si="25"/>
        <v>6.2072973163340706E-4</v>
      </c>
    </row>
    <row r="92" spans="3:53" ht="14.25" customHeight="1" x14ac:dyDescent="0.35">
      <c r="C92" s="248" t="s">
        <v>355</v>
      </c>
      <c r="D92" s="249">
        <v>165.24</v>
      </c>
      <c r="E92" s="250">
        <f t="shared" si="13"/>
        <v>1.5050064500276461E-2</v>
      </c>
      <c r="G92" s="248" t="s">
        <v>355</v>
      </c>
      <c r="H92" s="136">
        <v>61.53</v>
      </c>
      <c r="I92" s="250">
        <f t="shared" si="14"/>
        <v>2.379367720465897E-2</v>
      </c>
      <c r="K92" s="248" t="s">
        <v>355</v>
      </c>
      <c r="L92" s="136">
        <v>37.58</v>
      </c>
      <c r="M92" s="250">
        <f t="shared" si="15"/>
        <v>-6.083046813012527E-3</v>
      </c>
      <c r="O92" s="248" t="s">
        <v>355</v>
      </c>
      <c r="P92" s="136">
        <v>39.35</v>
      </c>
      <c r="Q92" s="250">
        <f t="shared" si="16"/>
        <v>-2.3573200992555776E-2</v>
      </c>
      <c r="R92" s="251"/>
      <c r="S92" s="248" t="s">
        <v>355</v>
      </c>
      <c r="T92" s="136">
        <v>50.7</v>
      </c>
      <c r="U92" s="250">
        <f t="shared" si="17"/>
        <v>2.923264311814866E-2</v>
      </c>
      <c r="V92" s="251"/>
      <c r="W92" s="248" t="s">
        <v>355</v>
      </c>
      <c r="X92" s="136">
        <v>62.82</v>
      </c>
      <c r="Y92" s="250">
        <f t="shared" si="18"/>
        <v>3.3903884134298901E-2</v>
      </c>
      <c r="Z92" s="251"/>
      <c r="AA92" s="248" t="s">
        <v>355</v>
      </c>
      <c r="AB92" s="136">
        <v>39.29</v>
      </c>
      <c r="AC92" s="250">
        <f t="shared" si="19"/>
        <v>4.4391281233386648E-2</v>
      </c>
      <c r="AD92" s="251"/>
      <c r="AE92" s="248" t="s">
        <v>355</v>
      </c>
      <c r="AF92" s="136">
        <v>61.52</v>
      </c>
      <c r="AG92" s="250">
        <f t="shared" si="20"/>
        <v>1.6257519102591544E-4</v>
      </c>
      <c r="AH92" s="251"/>
      <c r="AI92" s="248" t="s">
        <v>355</v>
      </c>
      <c r="AJ92" s="136">
        <v>214.37</v>
      </c>
      <c r="AK92" s="250">
        <f t="shared" si="21"/>
        <v>3.6956416582015317E-2</v>
      </c>
      <c r="AL92" s="251"/>
      <c r="AM92" s="248" t="s">
        <v>355</v>
      </c>
      <c r="AN92" s="136">
        <v>44.53</v>
      </c>
      <c r="AO92" s="250">
        <f t="shared" si="22"/>
        <v>4.9493283054442561E-2</v>
      </c>
      <c r="AP92" s="251"/>
      <c r="AQ92" s="248" t="s">
        <v>355</v>
      </c>
      <c r="AR92" s="136">
        <v>229.41</v>
      </c>
      <c r="AS92" s="250">
        <f t="shared" si="23"/>
        <v>1.5403000929491428E-2</v>
      </c>
      <c r="AT92" s="251"/>
      <c r="AU92" s="248" t="s">
        <v>355</v>
      </c>
      <c r="AV92" s="136">
        <v>67.39</v>
      </c>
      <c r="AW92" s="250">
        <f t="shared" si="24"/>
        <v>7.9794904662714439E-2</v>
      </c>
      <c r="AX92" s="251"/>
      <c r="AY92" s="248" t="s">
        <v>355</v>
      </c>
      <c r="AZ92" s="252">
        <v>4543.04</v>
      </c>
      <c r="BA92" s="250">
        <f t="shared" si="25"/>
        <v>1.7913597978082452E-2</v>
      </c>
    </row>
    <row r="93" spans="3:53" ht="14.25" customHeight="1" x14ac:dyDescent="0.35">
      <c r="C93" s="248" t="s">
        <v>356</v>
      </c>
      <c r="D93" s="249">
        <v>162.79</v>
      </c>
      <c r="E93" s="250">
        <f t="shared" si="13"/>
        <v>5.8934495544135768E-2</v>
      </c>
      <c r="G93" s="248" t="s">
        <v>356</v>
      </c>
      <c r="H93" s="136">
        <v>60.1</v>
      </c>
      <c r="I93" s="250">
        <f t="shared" si="14"/>
        <v>3.7638121546961223E-2</v>
      </c>
      <c r="K93" s="248" t="s">
        <v>356</v>
      </c>
      <c r="L93" s="136">
        <v>37.81</v>
      </c>
      <c r="M93" s="250">
        <f t="shared" si="15"/>
        <v>2.7166530834012548E-2</v>
      </c>
      <c r="O93" s="248" t="s">
        <v>356</v>
      </c>
      <c r="P93" s="136">
        <v>40.299999999999997</v>
      </c>
      <c r="Q93" s="250">
        <f t="shared" si="16"/>
        <v>0.10079213329691328</v>
      </c>
      <c r="R93" s="251"/>
      <c r="S93" s="248" t="s">
        <v>356</v>
      </c>
      <c r="T93" s="136">
        <v>49.26</v>
      </c>
      <c r="U93" s="250">
        <f t="shared" si="17"/>
        <v>-2.4167987321711548E-2</v>
      </c>
      <c r="V93" s="251"/>
      <c r="W93" s="248" t="s">
        <v>356</v>
      </c>
      <c r="X93" s="136">
        <v>60.76</v>
      </c>
      <c r="Y93" s="250">
        <f t="shared" si="18"/>
        <v>1.5204678362572999E-2</v>
      </c>
      <c r="Z93" s="251"/>
      <c r="AA93" s="248" t="s">
        <v>356</v>
      </c>
      <c r="AB93" s="136">
        <v>37.619999999999997</v>
      </c>
      <c r="AC93" s="250">
        <f t="shared" si="19"/>
        <v>6.9593147751605411E-3</v>
      </c>
      <c r="AD93" s="251"/>
      <c r="AE93" s="248" t="s">
        <v>356</v>
      </c>
      <c r="AF93" s="136">
        <v>61.51</v>
      </c>
      <c r="AG93" s="250">
        <f t="shared" si="20"/>
        <v>4.0426251691475068E-2</v>
      </c>
      <c r="AH93" s="251"/>
      <c r="AI93" s="248" t="s">
        <v>356</v>
      </c>
      <c r="AJ93" s="136">
        <v>206.73</v>
      </c>
      <c r="AK93" s="250">
        <f t="shared" si="21"/>
        <v>9.9662904880550851E-3</v>
      </c>
      <c r="AL93" s="251"/>
      <c r="AM93" s="248" t="s">
        <v>356</v>
      </c>
      <c r="AN93" s="136">
        <v>42.43</v>
      </c>
      <c r="AO93" s="250">
        <f t="shared" si="22"/>
        <v>6.165520512212419E-3</v>
      </c>
      <c r="AP93" s="251"/>
      <c r="AQ93" s="248" t="s">
        <v>356</v>
      </c>
      <c r="AR93" s="136">
        <v>225.93</v>
      </c>
      <c r="AS93" s="250">
        <f t="shared" si="23"/>
        <v>6.3750647393945092E-2</v>
      </c>
      <c r="AT93" s="251"/>
      <c r="AU93" s="248" t="s">
        <v>356</v>
      </c>
      <c r="AV93" s="136">
        <v>62.41</v>
      </c>
      <c r="AW93" s="250">
        <f t="shared" si="24"/>
        <v>2.2482736470208486E-3</v>
      </c>
      <c r="AX93" s="251"/>
      <c r="AY93" s="248" t="s">
        <v>356</v>
      </c>
      <c r="AZ93" s="252">
        <v>4463.09</v>
      </c>
      <c r="BA93" s="250">
        <f t="shared" si="25"/>
        <v>6.1551122538537673E-2</v>
      </c>
    </row>
    <row r="94" spans="3:53" ht="14.25" customHeight="1" x14ac:dyDescent="0.35">
      <c r="C94" s="253">
        <v>44715</v>
      </c>
      <c r="D94" s="249">
        <v>153.72999999999999</v>
      </c>
      <c r="E94" s="250">
        <f t="shared" si="13"/>
        <v>-7.2518853695324292E-2</v>
      </c>
      <c r="G94" s="253">
        <v>44715</v>
      </c>
      <c r="H94" s="136">
        <v>57.92</v>
      </c>
      <c r="I94" s="250">
        <f t="shared" si="14"/>
        <v>-7.4316765222950276E-2</v>
      </c>
      <c r="K94" s="253">
        <v>44715</v>
      </c>
      <c r="L94" s="136">
        <v>36.81</v>
      </c>
      <c r="M94" s="250">
        <f t="shared" si="15"/>
        <v>-5.32407407407407E-2</v>
      </c>
      <c r="O94" s="253">
        <v>44715</v>
      </c>
      <c r="P94" s="136">
        <v>36.61</v>
      </c>
      <c r="Q94" s="250">
        <f t="shared" si="16"/>
        <v>-9.9606492867683194E-2</v>
      </c>
      <c r="R94" s="251"/>
      <c r="S94" s="253">
        <v>44715</v>
      </c>
      <c r="T94" s="136">
        <v>50.48</v>
      </c>
      <c r="U94" s="250">
        <f t="shared" si="17"/>
        <v>-2.4163928088150044E-2</v>
      </c>
      <c r="V94" s="251"/>
      <c r="W94" s="253">
        <v>44715</v>
      </c>
      <c r="X94" s="136">
        <v>59.85</v>
      </c>
      <c r="Y94" s="250">
        <f t="shared" si="18"/>
        <v>-7.8521939953810627E-2</v>
      </c>
      <c r="Z94" s="251"/>
      <c r="AA94" s="253">
        <v>44715</v>
      </c>
      <c r="AB94" s="136">
        <v>37.36</v>
      </c>
      <c r="AC94" s="250">
        <f t="shared" si="19"/>
        <v>-6.2248995983935851E-2</v>
      </c>
      <c r="AD94" s="251"/>
      <c r="AE94" s="253">
        <v>44715</v>
      </c>
      <c r="AF94" s="136">
        <v>59.12</v>
      </c>
      <c r="AG94" s="250">
        <f t="shared" si="20"/>
        <v>-7.3789754034153221E-2</v>
      </c>
      <c r="AH94" s="251"/>
      <c r="AI94" s="253">
        <v>44715</v>
      </c>
      <c r="AJ94" s="136">
        <v>204.69</v>
      </c>
      <c r="AK94" s="250">
        <f t="shared" si="21"/>
        <v>-3.8201296870594814E-2</v>
      </c>
      <c r="AL94" s="251"/>
      <c r="AM94" s="253">
        <v>44715</v>
      </c>
      <c r="AN94" s="136">
        <v>42.17</v>
      </c>
      <c r="AO94" s="250">
        <f t="shared" si="22"/>
        <v>-7.4204171240395023E-2</v>
      </c>
      <c r="AP94" s="251"/>
      <c r="AQ94" s="253">
        <v>44715</v>
      </c>
      <c r="AR94" s="136">
        <v>212.39</v>
      </c>
      <c r="AS94" s="250">
        <f t="shared" si="23"/>
        <v>-2.4212073876688445E-2</v>
      </c>
      <c r="AT94" s="251"/>
      <c r="AU94" s="253">
        <v>44715</v>
      </c>
      <c r="AV94" s="136">
        <v>62.27</v>
      </c>
      <c r="AW94" s="250">
        <f t="shared" si="24"/>
        <v>-8.5877862595419852E-2</v>
      </c>
      <c r="AX94" s="251"/>
      <c r="AY94" s="253">
        <v>44715</v>
      </c>
      <c r="AZ94" s="252">
        <v>4204.3100000000004</v>
      </c>
      <c r="BA94" s="250">
        <f t="shared" si="25"/>
        <v>-2.8774252865066297E-2</v>
      </c>
    </row>
    <row r="95" spans="3:53" ht="14.25" customHeight="1" x14ac:dyDescent="0.35">
      <c r="C95" s="248" t="s">
        <v>357</v>
      </c>
      <c r="D95" s="249">
        <v>165.75</v>
      </c>
      <c r="E95" s="250">
        <f t="shared" si="13"/>
        <v>-1.5619432236607667E-2</v>
      </c>
      <c r="G95" s="248" t="s">
        <v>357</v>
      </c>
      <c r="H95" s="136">
        <v>62.57</v>
      </c>
      <c r="I95" s="250">
        <f t="shared" si="14"/>
        <v>-4.4550517104217091E-3</v>
      </c>
      <c r="K95" s="248" t="s">
        <v>357</v>
      </c>
      <c r="L95" s="136">
        <v>38.880000000000003</v>
      </c>
      <c r="M95" s="250">
        <f t="shared" si="15"/>
        <v>1.5143603133159322E-2</v>
      </c>
      <c r="O95" s="248" t="s">
        <v>357</v>
      </c>
      <c r="P95" s="136">
        <v>40.659999999999997</v>
      </c>
      <c r="Q95" s="250">
        <f t="shared" si="16"/>
        <v>-3.8315988647114607E-2</v>
      </c>
      <c r="R95" s="251"/>
      <c r="S95" s="248" t="s">
        <v>357</v>
      </c>
      <c r="T95" s="136">
        <v>51.73</v>
      </c>
      <c r="U95" s="250">
        <f t="shared" si="17"/>
        <v>6.7478332645480643E-2</v>
      </c>
      <c r="V95" s="251"/>
      <c r="W95" s="248" t="s">
        <v>357</v>
      </c>
      <c r="X95" s="136">
        <v>64.95</v>
      </c>
      <c r="Y95" s="250">
        <f t="shared" si="18"/>
        <v>-1.111449451887947E-2</v>
      </c>
      <c r="Z95" s="251"/>
      <c r="AA95" s="248" t="s">
        <v>357</v>
      </c>
      <c r="AB95" s="136">
        <v>39.840000000000003</v>
      </c>
      <c r="AC95" s="250">
        <f t="shared" si="19"/>
        <v>2.7686886483766493E-3</v>
      </c>
      <c r="AD95" s="251"/>
      <c r="AE95" s="248" t="s">
        <v>357</v>
      </c>
      <c r="AF95" s="136">
        <v>63.83</v>
      </c>
      <c r="AG95" s="250">
        <f t="shared" si="20"/>
        <v>-4.3888556021569936E-2</v>
      </c>
      <c r="AH95" s="251"/>
      <c r="AI95" s="248" t="s">
        <v>357</v>
      </c>
      <c r="AJ95" s="136">
        <v>212.82</v>
      </c>
      <c r="AK95" s="250">
        <f t="shared" si="21"/>
        <v>4.1601409553641444E-2</v>
      </c>
      <c r="AL95" s="251"/>
      <c r="AM95" s="248" t="s">
        <v>357</v>
      </c>
      <c r="AN95" s="136">
        <v>45.55</v>
      </c>
      <c r="AO95" s="250">
        <f t="shared" si="22"/>
        <v>7.966364239875956E-3</v>
      </c>
      <c r="AP95" s="251"/>
      <c r="AQ95" s="248" t="s">
        <v>357</v>
      </c>
      <c r="AR95" s="136">
        <v>217.66</v>
      </c>
      <c r="AS95" s="250">
        <f t="shared" si="23"/>
        <v>2.8566162919276827E-3</v>
      </c>
      <c r="AT95" s="251"/>
      <c r="AU95" s="248" t="s">
        <v>357</v>
      </c>
      <c r="AV95" s="136">
        <v>68.12</v>
      </c>
      <c r="AW95" s="250">
        <f t="shared" si="24"/>
        <v>1.9120458891015435E-3</v>
      </c>
      <c r="AX95" s="251"/>
      <c r="AY95" s="248" t="s">
        <v>357</v>
      </c>
      <c r="AZ95" s="252">
        <v>4328.87</v>
      </c>
      <c r="BA95" s="250">
        <f t="shared" si="25"/>
        <v>-1.2714898896597604E-2</v>
      </c>
    </row>
    <row r="96" spans="3:53" ht="14.25" customHeight="1" x14ac:dyDescent="0.35">
      <c r="C96" s="248" t="s">
        <v>358</v>
      </c>
      <c r="D96" s="249">
        <v>168.38</v>
      </c>
      <c r="E96" s="250">
        <f t="shared" si="13"/>
        <v>3.9949913541230675E-3</v>
      </c>
      <c r="G96" s="248" t="s">
        <v>358</v>
      </c>
      <c r="H96" s="136">
        <v>62.85</v>
      </c>
      <c r="I96" s="250">
        <f t="shared" si="14"/>
        <v>4.9568276303166847E-3</v>
      </c>
      <c r="K96" s="248" t="s">
        <v>358</v>
      </c>
      <c r="L96" s="136">
        <v>38.299999999999997</v>
      </c>
      <c r="M96" s="250">
        <f t="shared" si="15"/>
        <v>-4.6777546777546641E-3</v>
      </c>
      <c r="O96" s="248" t="s">
        <v>358</v>
      </c>
      <c r="P96" s="136">
        <v>42.28</v>
      </c>
      <c r="Q96" s="250">
        <f t="shared" si="16"/>
        <v>4.0610386413979738E-2</v>
      </c>
      <c r="R96" s="251"/>
      <c r="S96" s="248" t="s">
        <v>358</v>
      </c>
      <c r="T96" s="136">
        <v>48.46</v>
      </c>
      <c r="U96" s="250">
        <f t="shared" si="17"/>
        <v>2.1285563751317182E-2</v>
      </c>
      <c r="V96" s="251"/>
      <c r="W96" s="248" t="s">
        <v>358</v>
      </c>
      <c r="X96" s="136">
        <v>65.680000000000007</v>
      </c>
      <c r="Y96" s="250">
        <f t="shared" si="18"/>
        <v>-5.9028303314664354E-3</v>
      </c>
      <c r="Z96" s="251"/>
      <c r="AA96" s="248" t="s">
        <v>358</v>
      </c>
      <c r="AB96" s="136">
        <v>39.729999999999997</v>
      </c>
      <c r="AC96" s="250">
        <f t="shared" si="19"/>
        <v>3.3021320852834046E-2</v>
      </c>
      <c r="AD96" s="251"/>
      <c r="AE96" s="248" t="s">
        <v>358</v>
      </c>
      <c r="AF96" s="136">
        <v>66.760000000000005</v>
      </c>
      <c r="AG96" s="250">
        <f t="shared" si="20"/>
        <v>1.15151515151517E-2</v>
      </c>
      <c r="AH96" s="251"/>
      <c r="AI96" s="248" t="s">
        <v>358</v>
      </c>
      <c r="AJ96" s="136">
        <v>204.32</v>
      </c>
      <c r="AK96" s="250">
        <f t="shared" si="21"/>
        <v>8.5394145811736877E-3</v>
      </c>
      <c r="AL96" s="251"/>
      <c r="AM96" s="248" t="s">
        <v>358</v>
      </c>
      <c r="AN96" s="136">
        <v>45.19</v>
      </c>
      <c r="AO96" s="250">
        <f t="shared" si="22"/>
        <v>5.3392658509454627E-3</v>
      </c>
      <c r="AP96" s="251"/>
      <c r="AQ96" s="248" t="s">
        <v>358</v>
      </c>
      <c r="AR96" s="136">
        <v>217.04</v>
      </c>
      <c r="AS96" s="250">
        <f t="shared" si="23"/>
        <v>5.5130877924485233E-3</v>
      </c>
      <c r="AT96" s="251"/>
      <c r="AU96" s="248" t="s">
        <v>358</v>
      </c>
      <c r="AV96" s="136">
        <v>67.989999999999995</v>
      </c>
      <c r="AW96" s="250">
        <f t="shared" si="24"/>
        <v>-2.3477622890684113E-3</v>
      </c>
      <c r="AX96" s="251"/>
      <c r="AY96" s="248" t="s">
        <v>358</v>
      </c>
      <c r="AZ96" s="252">
        <v>4384.62</v>
      </c>
      <c r="BA96" s="250">
        <f t="shared" si="25"/>
        <v>8.2205262516470423E-3</v>
      </c>
    </row>
    <row r="97" spans="3:53" ht="14.25" customHeight="1" x14ac:dyDescent="0.35">
      <c r="C97" s="248" t="s">
        <v>359</v>
      </c>
      <c r="D97" s="249">
        <v>167.71</v>
      </c>
      <c r="E97" s="250">
        <f t="shared" si="13"/>
        <v>-5.1607545379048769E-3</v>
      </c>
      <c r="G97" s="248" t="s">
        <v>359</v>
      </c>
      <c r="H97" s="136">
        <v>62.54</v>
      </c>
      <c r="I97" s="250">
        <f t="shared" si="14"/>
        <v>3.7319621827832217E-2</v>
      </c>
      <c r="K97" s="248" t="s">
        <v>359</v>
      </c>
      <c r="L97" s="136">
        <v>38.479999999999997</v>
      </c>
      <c r="M97" s="250">
        <f t="shared" si="15"/>
        <v>1.1832763607678043E-2</v>
      </c>
      <c r="O97" s="248" t="s">
        <v>359</v>
      </c>
      <c r="P97" s="136">
        <v>40.630000000000003</v>
      </c>
      <c r="Q97" s="250">
        <f t="shared" si="16"/>
        <v>-1.8599033816425026E-2</v>
      </c>
      <c r="R97" s="251"/>
      <c r="S97" s="248" t="s">
        <v>359</v>
      </c>
      <c r="T97" s="136">
        <v>47.45</v>
      </c>
      <c r="U97" s="250">
        <f t="shared" si="17"/>
        <v>-9.8080133555926707E-3</v>
      </c>
      <c r="V97" s="251"/>
      <c r="W97" s="248" t="s">
        <v>359</v>
      </c>
      <c r="X97" s="136">
        <v>66.069999999999993</v>
      </c>
      <c r="Y97" s="250">
        <f t="shared" si="18"/>
        <v>3.4768989819890184E-2</v>
      </c>
      <c r="Z97" s="251"/>
      <c r="AA97" s="248" t="s">
        <v>359</v>
      </c>
      <c r="AB97" s="136">
        <v>38.46</v>
      </c>
      <c r="AC97" s="250">
        <f t="shared" si="19"/>
        <v>0.10739994241289974</v>
      </c>
      <c r="AD97" s="251"/>
      <c r="AE97" s="248" t="s">
        <v>359</v>
      </c>
      <c r="AF97" s="136">
        <v>66</v>
      </c>
      <c r="AG97" s="250">
        <f t="shared" si="20"/>
        <v>-1.0494752623688153E-2</v>
      </c>
      <c r="AH97" s="251"/>
      <c r="AI97" s="248" t="s">
        <v>359</v>
      </c>
      <c r="AJ97" s="136">
        <v>202.59</v>
      </c>
      <c r="AK97" s="250">
        <f t="shared" si="21"/>
        <v>-1.2671182806179626E-2</v>
      </c>
      <c r="AL97" s="251"/>
      <c r="AM97" s="248" t="s">
        <v>359</v>
      </c>
      <c r="AN97" s="136">
        <v>44.95</v>
      </c>
      <c r="AO97" s="250">
        <f t="shared" si="22"/>
        <v>1.8120045300113352E-2</v>
      </c>
      <c r="AP97" s="251"/>
      <c r="AQ97" s="248" t="s">
        <v>359</v>
      </c>
      <c r="AR97" s="136">
        <v>215.85</v>
      </c>
      <c r="AS97" s="250">
        <f t="shared" si="23"/>
        <v>-8.5148766635585349E-2</v>
      </c>
      <c r="AT97" s="251"/>
      <c r="AU97" s="248" t="s">
        <v>359</v>
      </c>
      <c r="AV97" s="136">
        <v>68.150000000000006</v>
      </c>
      <c r="AW97" s="250">
        <f t="shared" si="24"/>
        <v>1.322362621216655E-3</v>
      </c>
      <c r="AX97" s="251"/>
      <c r="AY97" s="248" t="s">
        <v>359</v>
      </c>
      <c r="AZ97" s="252">
        <v>4348.87</v>
      </c>
      <c r="BA97" s="250">
        <f t="shared" si="25"/>
        <v>-1.5789926312168578E-2</v>
      </c>
    </row>
    <row r="98" spans="3:53" ht="14.25" customHeight="1" x14ac:dyDescent="0.35">
      <c r="C98" s="253">
        <v>44714</v>
      </c>
      <c r="D98" s="249">
        <v>168.58</v>
      </c>
      <c r="E98" s="250">
        <f t="shared" si="13"/>
        <v>-2.2667980752507422E-2</v>
      </c>
      <c r="G98" s="253">
        <v>44714</v>
      </c>
      <c r="H98" s="136">
        <v>60.29</v>
      </c>
      <c r="I98" s="250">
        <f t="shared" si="14"/>
        <v>-1.0990813648294018E-2</v>
      </c>
      <c r="K98" s="253">
        <v>44714</v>
      </c>
      <c r="L98" s="136">
        <v>38.03</v>
      </c>
      <c r="M98" s="250">
        <f t="shared" si="15"/>
        <v>-5.4916317991632324E-3</v>
      </c>
      <c r="O98" s="253">
        <v>44714</v>
      </c>
      <c r="P98" s="136">
        <v>41.4</v>
      </c>
      <c r="Q98" s="250">
        <f t="shared" si="16"/>
        <v>-1.7793594306049876E-2</v>
      </c>
      <c r="R98" s="251"/>
      <c r="S98" s="253">
        <v>44714</v>
      </c>
      <c r="T98" s="136">
        <v>47.92</v>
      </c>
      <c r="U98" s="250">
        <f t="shared" si="17"/>
        <v>2.0008514261387944E-2</v>
      </c>
      <c r="V98" s="251"/>
      <c r="W98" s="253">
        <v>44714</v>
      </c>
      <c r="X98" s="136">
        <v>63.85</v>
      </c>
      <c r="Y98" s="250">
        <f t="shared" si="18"/>
        <v>3.6862617733030234E-2</v>
      </c>
      <c r="Z98" s="251"/>
      <c r="AA98" s="253">
        <v>44714</v>
      </c>
      <c r="AB98" s="136">
        <v>34.729999999999997</v>
      </c>
      <c r="AC98" s="250">
        <f t="shared" si="19"/>
        <v>-5.7553956834544007E-4</v>
      </c>
      <c r="AD98" s="251"/>
      <c r="AE98" s="253">
        <v>44714</v>
      </c>
      <c r="AF98" s="136">
        <v>66.7</v>
      </c>
      <c r="AG98" s="250">
        <f t="shared" si="20"/>
        <v>-4.7746941211577187E-3</v>
      </c>
      <c r="AH98" s="251"/>
      <c r="AI98" s="253">
        <v>44714</v>
      </c>
      <c r="AJ98" s="136">
        <v>205.19</v>
      </c>
      <c r="AK98" s="250">
        <f t="shared" si="21"/>
        <v>1.1884801262451949E-2</v>
      </c>
      <c r="AL98" s="251"/>
      <c r="AM98" s="253">
        <v>44714</v>
      </c>
      <c r="AN98" s="136">
        <v>44.15</v>
      </c>
      <c r="AO98" s="250">
        <f t="shared" si="22"/>
        <v>2.4599675098630591E-2</v>
      </c>
      <c r="AP98" s="251"/>
      <c r="AQ98" s="253">
        <v>44714</v>
      </c>
      <c r="AR98" s="136">
        <v>235.94</v>
      </c>
      <c r="AS98" s="250">
        <f t="shared" si="23"/>
        <v>-5.8568238317954213E-3</v>
      </c>
      <c r="AT98" s="251"/>
      <c r="AU98" s="253">
        <v>44714</v>
      </c>
      <c r="AV98" s="136">
        <v>68.06</v>
      </c>
      <c r="AW98" s="250">
        <f t="shared" si="24"/>
        <v>2.0612485276796377E-3</v>
      </c>
      <c r="AX98" s="251"/>
      <c r="AY98" s="253">
        <v>44714</v>
      </c>
      <c r="AZ98" s="252">
        <v>4418.6400000000003</v>
      </c>
      <c r="BA98" s="250">
        <f t="shared" si="25"/>
        <v>-1.8197816262048527E-2</v>
      </c>
    </row>
    <row r="99" spans="3:53" ht="14.25" customHeight="1" x14ac:dyDescent="0.35">
      <c r="C99" s="248" t="s">
        <v>360</v>
      </c>
      <c r="D99" s="249">
        <v>172.49</v>
      </c>
      <c r="E99" s="250">
        <f t="shared" si="13"/>
        <v>-1.0424509179358665E-3</v>
      </c>
      <c r="G99" s="248" t="s">
        <v>360</v>
      </c>
      <c r="H99" s="136">
        <v>60.96</v>
      </c>
      <c r="I99" s="250">
        <f t="shared" si="14"/>
        <v>1.9723865877712132E-3</v>
      </c>
      <c r="K99" s="248" t="s">
        <v>360</v>
      </c>
      <c r="L99" s="136">
        <v>38.24</v>
      </c>
      <c r="M99" s="250">
        <f t="shared" si="15"/>
        <v>1.5940488841657885E-2</v>
      </c>
      <c r="O99" s="248" t="s">
        <v>360</v>
      </c>
      <c r="P99" s="136">
        <v>42.15</v>
      </c>
      <c r="Q99" s="250">
        <f t="shared" si="16"/>
        <v>-1.1954992967651124E-2</v>
      </c>
      <c r="R99" s="251"/>
      <c r="S99" s="248" t="s">
        <v>360</v>
      </c>
      <c r="T99" s="136">
        <v>46.98</v>
      </c>
      <c r="U99" s="250">
        <f t="shared" si="17"/>
        <v>-5.29324581833579E-3</v>
      </c>
      <c r="V99" s="251"/>
      <c r="W99" s="248" t="s">
        <v>360</v>
      </c>
      <c r="X99" s="136">
        <v>61.58</v>
      </c>
      <c r="Y99" s="250">
        <f t="shared" si="18"/>
        <v>-5.6389825314128172E-2</v>
      </c>
      <c r="Z99" s="251"/>
      <c r="AA99" s="248" t="s">
        <v>360</v>
      </c>
      <c r="AB99" s="136">
        <v>34.75</v>
      </c>
      <c r="AC99" s="250">
        <f t="shared" si="19"/>
        <v>-3.6061026352288361E-2</v>
      </c>
      <c r="AD99" s="251"/>
      <c r="AE99" s="248" t="s">
        <v>360</v>
      </c>
      <c r="AF99" s="136">
        <v>67.02</v>
      </c>
      <c r="AG99" s="250">
        <f t="shared" si="20"/>
        <v>9.0334236675699842E-3</v>
      </c>
      <c r="AH99" s="251"/>
      <c r="AI99" s="248" t="s">
        <v>360</v>
      </c>
      <c r="AJ99" s="136">
        <v>202.78</v>
      </c>
      <c r="AK99" s="250">
        <f t="shared" si="21"/>
        <v>3.0229131738048087E-2</v>
      </c>
      <c r="AL99" s="251"/>
      <c r="AM99" s="248" t="s">
        <v>360</v>
      </c>
      <c r="AN99" s="136">
        <v>43.09</v>
      </c>
      <c r="AO99" s="250">
        <f t="shared" si="22"/>
        <v>-2.5554047942107583E-2</v>
      </c>
      <c r="AP99" s="251"/>
      <c r="AQ99" s="248" t="s">
        <v>360</v>
      </c>
      <c r="AR99" s="136">
        <v>237.33</v>
      </c>
      <c r="AS99" s="250">
        <f t="shared" si="23"/>
        <v>5.4225799618725645E-3</v>
      </c>
      <c r="AT99" s="251"/>
      <c r="AU99" s="248" t="s">
        <v>360</v>
      </c>
      <c r="AV99" s="136">
        <v>67.92</v>
      </c>
      <c r="AW99" s="250">
        <f t="shared" si="24"/>
        <v>-2.1043528394349864E-2</v>
      </c>
      <c r="AX99" s="251"/>
      <c r="AY99" s="248" t="s">
        <v>360</v>
      </c>
      <c r="AZ99" s="252">
        <v>4500.54</v>
      </c>
      <c r="BA99" s="250">
        <f t="shared" si="25"/>
        <v>1.5499170775184146E-2</v>
      </c>
    </row>
    <row r="100" spans="3:53" ht="14.25" customHeight="1" x14ac:dyDescent="0.35">
      <c r="C100" s="248" t="s">
        <v>361</v>
      </c>
      <c r="D100" s="249">
        <v>172.67</v>
      </c>
      <c r="E100" s="250">
        <f t="shared" si="13"/>
        <v>-8.8967971530249379E-3</v>
      </c>
      <c r="G100" s="248" t="s">
        <v>361</v>
      </c>
      <c r="H100" s="136">
        <v>60.84</v>
      </c>
      <c r="I100" s="250">
        <f t="shared" si="14"/>
        <v>6.4516129032257119E-3</v>
      </c>
      <c r="K100" s="248" t="s">
        <v>361</v>
      </c>
      <c r="L100" s="136">
        <v>37.64</v>
      </c>
      <c r="M100" s="250">
        <f t="shared" si="15"/>
        <v>-5.0224689399946953E-3</v>
      </c>
      <c r="O100" s="248" t="s">
        <v>361</v>
      </c>
      <c r="P100" s="136">
        <v>42.66</v>
      </c>
      <c r="Q100" s="250">
        <f t="shared" si="16"/>
        <v>-3.5038542396638173E-3</v>
      </c>
      <c r="R100" s="251"/>
      <c r="S100" s="248" t="s">
        <v>361</v>
      </c>
      <c r="T100" s="136">
        <v>47.23</v>
      </c>
      <c r="U100" s="250">
        <f t="shared" si="17"/>
        <v>-3.8672908609810874E-2</v>
      </c>
      <c r="V100" s="251"/>
      <c r="W100" s="248" t="s">
        <v>361</v>
      </c>
      <c r="X100" s="136">
        <v>65.260000000000005</v>
      </c>
      <c r="Y100" s="250">
        <f t="shared" si="18"/>
        <v>-2.0267227143071498E-2</v>
      </c>
      <c r="Z100" s="251"/>
      <c r="AA100" s="248" t="s">
        <v>361</v>
      </c>
      <c r="AB100" s="136">
        <v>36.049999999999997</v>
      </c>
      <c r="AC100" s="250">
        <f t="shared" si="19"/>
        <v>-2.5675675675675746E-2</v>
      </c>
      <c r="AD100" s="251"/>
      <c r="AE100" s="248" t="s">
        <v>361</v>
      </c>
      <c r="AF100" s="136">
        <v>66.42</v>
      </c>
      <c r="AG100" s="250">
        <f t="shared" si="20"/>
        <v>-2.8379169104739588E-2</v>
      </c>
      <c r="AH100" s="251"/>
      <c r="AI100" s="248" t="s">
        <v>361</v>
      </c>
      <c r="AJ100" s="136">
        <v>196.83</v>
      </c>
      <c r="AK100" s="250">
        <f t="shared" si="21"/>
        <v>-1.7569253805839735E-2</v>
      </c>
      <c r="AL100" s="251"/>
      <c r="AM100" s="248" t="s">
        <v>361</v>
      </c>
      <c r="AN100" s="136">
        <v>44.22</v>
      </c>
      <c r="AO100" s="250">
        <f t="shared" si="22"/>
        <v>-2.3841059602648929E-2</v>
      </c>
      <c r="AP100" s="251"/>
      <c r="AQ100" s="248" t="s">
        <v>361</v>
      </c>
      <c r="AR100" s="136">
        <v>236.05</v>
      </c>
      <c r="AS100" s="250">
        <f t="shared" si="23"/>
        <v>-2.0580058918716948E-2</v>
      </c>
      <c r="AT100" s="251"/>
      <c r="AU100" s="248" t="s">
        <v>361</v>
      </c>
      <c r="AV100" s="136">
        <v>69.38</v>
      </c>
      <c r="AW100" s="250">
        <f t="shared" si="24"/>
        <v>5.0702593075473423E-3</v>
      </c>
      <c r="AX100" s="251"/>
      <c r="AY100" s="248" t="s">
        <v>361</v>
      </c>
      <c r="AZ100" s="252">
        <v>4431.8500000000004</v>
      </c>
      <c r="BA100" s="250">
        <f t="shared" si="25"/>
        <v>7.7127193929871218E-3</v>
      </c>
    </row>
    <row r="101" spans="3:53" ht="14.25" customHeight="1" x14ac:dyDescent="0.35">
      <c r="C101" s="248" t="s">
        <v>362</v>
      </c>
      <c r="D101" s="249">
        <v>174.22</v>
      </c>
      <c r="E101" s="250">
        <f t="shared" si="13"/>
        <v>-8.0847187428830791E-3</v>
      </c>
      <c r="G101" s="248" t="s">
        <v>362</v>
      </c>
      <c r="H101" s="136">
        <v>60.45</v>
      </c>
      <c r="I101" s="250">
        <f t="shared" si="14"/>
        <v>-1.531194005538361E-2</v>
      </c>
      <c r="K101" s="248" t="s">
        <v>362</v>
      </c>
      <c r="L101" s="136">
        <v>37.83</v>
      </c>
      <c r="M101" s="250">
        <f t="shared" si="15"/>
        <v>-3.6914460285132455E-2</v>
      </c>
      <c r="O101" s="248" t="s">
        <v>362</v>
      </c>
      <c r="P101" s="136">
        <v>42.81</v>
      </c>
      <c r="Q101" s="250">
        <f t="shared" si="16"/>
        <v>-4.7608453837597375E-2</v>
      </c>
      <c r="R101" s="251"/>
      <c r="S101" s="248" t="s">
        <v>362</v>
      </c>
      <c r="T101" s="136">
        <v>49.13</v>
      </c>
      <c r="U101" s="250">
        <f t="shared" si="17"/>
        <v>1.0187449062755149E-3</v>
      </c>
      <c r="V101" s="251"/>
      <c r="W101" s="248" t="s">
        <v>362</v>
      </c>
      <c r="X101" s="136">
        <v>66.61</v>
      </c>
      <c r="Y101" s="250">
        <f t="shared" si="18"/>
        <v>-1.3623574707537389E-2</v>
      </c>
      <c r="Z101" s="251"/>
      <c r="AA101" s="248" t="s">
        <v>362</v>
      </c>
      <c r="AB101" s="136">
        <v>37</v>
      </c>
      <c r="AC101" s="250">
        <f t="shared" si="19"/>
        <v>-2.6827985270910126E-2</v>
      </c>
      <c r="AD101" s="251"/>
      <c r="AE101" s="248" t="s">
        <v>362</v>
      </c>
      <c r="AF101" s="136">
        <v>68.36</v>
      </c>
      <c r="AG101" s="250">
        <f t="shared" si="20"/>
        <v>3.8179148311308087E-3</v>
      </c>
      <c r="AH101" s="251"/>
      <c r="AI101" s="248" t="s">
        <v>362</v>
      </c>
      <c r="AJ101" s="136">
        <v>200.35</v>
      </c>
      <c r="AK101" s="250">
        <f t="shared" si="21"/>
        <v>4.1096576955845787E-3</v>
      </c>
      <c r="AL101" s="251"/>
      <c r="AM101" s="248" t="s">
        <v>362</v>
      </c>
      <c r="AN101" s="136">
        <v>45.3</v>
      </c>
      <c r="AO101" s="250">
        <f t="shared" si="22"/>
        <v>-2.3285899094437346E-2</v>
      </c>
      <c r="AP101" s="251"/>
      <c r="AQ101" s="248" t="s">
        <v>362</v>
      </c>
      <c r="AR101" s="136">
        <v>241.01</v>
      </c>
      <c r="AS101" s="250">
        <f t="shared" si="23"/>
        <v>-3.0686936936936915E-2</v>
      </c>
      <c r="AT101" s="251"/>
      <c r="AU101" s="248" t="s">
        <v>362</v>
      </c>
      <c r="AV101" s="136">
        <v>69.03</v>
      </c>
      <c r="AW101" s="250">
        <f t="shared" si="24"/>
        <v>-1.244635193133059E-2</v>
      </c>
      <c r="AX101" s="251"/>
      <c r="AY101" s="248" t="s">
        <v>362</v>
      </c>
      <c r="AZ101" s="252">
        <v>4397.93</v>
      </c>
      <c r="BA101" s="250">
        <f t="shared" si="25"/>
        <v>-5.6815038013232289E-2</v>
      </c>
    </row>
    <row r="102" spans="3:53" ht="14.25" customHeight="1" x14ac:dyDescent="0.35">
      <c r="C102" s="253">
        <v>44805</v>
      </c>
      <c r="D102" s="249">
        <v>175.64</v>
      </c>
      <c r="E102" s="250">
        <f t="shared" si="13"/>
        <v>8.9613970588233727E-3</v>
      </c>
      <c r="G102" s="253">
        <v>44805</v>
      </c>
      <c r="H102" s="136">
        <v>61.39</v>
      </c>
      <c r="I102" s="250">
        <f t="shared" si="14"/>
        <v>1.757003149345282E-2</v>
      </c>
      <c r="K102" s="253">
        <v>44805</v>
      </c>
      <c r="L102" s="136">
        <v>39.28</v>
      </c>
      <c r="M102" s="250">
        <f t="shared" si="15"/>
        <v>5.3083109919571214E-2</v>
      </c>
      <c r="O102" s="253">
        <v>44805</v>
      </c>
      <c r="P102" s="136">
        <v>44.95</v>
      </c>
      <c r="Q102" s="250">
        <f t="shared" si="16"/>
        <v>-4.422708909206885E-2</v>
      </c>
      <c r="R102" s="251"/>
      <c r="S102" s="253">
        <v>44805</v>
      </c>
      <c r="T102" s="136">
        <v>49.08</v>
      </c>
      <c r="U102" s="250">
        <f t="shared" si="17"/>
        <v>-1.5446339017051169E-2</v>
      </c>
      <c r="V102" s="251"/>
      <c r="W102" s="253">
        <v>44805</v>
      </c>
      <c r="X102" s="136">
        <v>67.53</v>
      </c>
      <c r="Y102" s="250">
        <f t="shared" si="18"/>
        <v>1.3963963963964154E-2</v>
      </c>
      <c r="Z102" s="251"/>
      <c r="AA102" s="253">
        <v>44805</v>
      </c>
      <c r="AB102" s="136">
        <v>38.020000000000003</v>
      </c>
      <c r="AC102" s="250">
        <f t="shared" si="19"/>
        <v>1.7938420348059037E-2</v>
      </c>
      <c r="AD102" s="251"/>
      <c r="AE102" s="253">
        <v>44805</v>
      </c>
      <c r="AF102" s="136">
        <v>68.099999999999994</v>
      </c>
      <c r="AG102" s="250">
        <f t="shared" si="20"/>
        <v>8.1421169504070079E-3</v>
      </c>
      <c r="AH102" s="251"/>
      <c r="AI102" s="253">
        <v>44805</v>
      </c>
      <c r="AJ102" s="136">
        <v>199.53</v>
      </c>
      <c r="AK102" s="250">
        <f t="shared" si="21"/>
        <v>1.8789890222108863E-2</v>
      </c>
      <c r="AL102" s="251"/>
      <c r="AM102" s="253">
        <v>44805</v>
      </c>
      <c r="AN102" s="136">
        <v>46.38</v>
      </c>
      <c r="AO102" s="250">
        <f t="shared" si="22"/>
        <v>1.1559432933478719E-2</v>
      </c>
      <c r="AP102" s="251"/>
      <c r="AQ102" s="253">
        <v>44805</v>
      </c>
      <c r="AR102" s="136">
        <v>248.64</v>
      </c>
      <c r="AS102" s="250">
        <f t="shared" si="23"/>
        <v>9.9926882768706093E-3</v>
      </c>
      <c r="AT102" s="251"/>
      <c r="AU102" s="253">
        <v>44805</v>
      </c>
      <c r="AV102" s="136">
        <v>69.900000000000006</v>
      </c>
      <c r="AW102" s="250">
        <f t="shared" si="24"/>
        <v>1.9396237421613227E-2</v>
      </c>
      <c r="AX102" s="251"/>
      <c r="AY102" s="253">
        <v>44805</v>
      </c>
      <c r="AZ102" s="252">
        <v>4662.8500000000004</v>
      </c>
      <c r="BA102" s="250">
        <f t="shared" si="25"/>
        <v>-3.0297069501520335E-3</v>
      </c>
    </row>
    <row r="103" spans="3:53" ht="14.25" customHeight="1" x14ac:dyDescent="0.35">
      <c r="C103" s="253">
        <v>44593</v>
      </c>
      <c r="D103" s="249">
        <v>174.08</v>
      </c>
      <c r="E103" s="250">
        <f t="shared" si="13"/>
        <v>2.129986759541902E-3</v>
      </c>
      <c r="G103" s="253">
        <v>44593</v>
      </c>
      <c r="H103" s="136">
        <v>60.33</v>
      </c>
      <c r="I103" s="250">
        <f t="shared" si="14"/>
        <v>1.8915723695321685E-2</v>
      </c>
      <c r="K103" s="253">
        <v>44593</v>
      </c>
      <c r="L103" s="136">
        <v>37.299999999999997</v>
      </c>
      <c r="M103" s="250">
        <f t="shared" si="15"/>
        <v>1.1937059142702156E-2</v>
      </c>
      <c r="O103" s="253">
        <v>44593</v>
      </c>
      <c r="P103" s="136">
        <v>47.03</v>
      </c>
      <c r="Q103" s="250">
        <f t="shared" si="16"/>
        <v>-2.0616409829237847E-2</v>
      </c>
      <c r="R103" s="251"/>
      <c r="S103" s="253">
        <v>44593</v>
      </c>
      <c r="T103" s="136">
        <v>49.85</v>
      </c>
      <c r="U103" s="250">
        <f t="shared" si="17"/>
        <v>2.1307109198934526E-2</v>
      </c>
      <c r="V103" s="251"/>
      <c r="W103" s="253">
        <v>44593</v>
      </c>
      <c r="X103" s="136">
        <v>66.599999999999994</v>
      </c>
      <c r="Y103" s="250">
        <f t="shared" si="18"/>
        <v>3.3840422229121314E-2</v>
      </c>
      <c r="Z103" s="251"/>
      <c r="AA103" s="253">
        <v>44593</v>
      </c>
      <c r="AB103" s="136">
        <v>37.35</v>
      </c>
      <c r="AC103" s="250">
        <f t="shared" si="19"/>
        <v>4.0389972144846853E-2</v>
      </c>
      <c r="AD103" s="251"/>
      <c r="AE103" s="253">
        <v>44593</v>
      </c>
      <c r="AF103" s="136">
        <v>67.55</v>
      </c>
      <c r="AG103" s="250">
        <f t="shared" si="20"/>
        <v>1.8700045242044938E-2</v>
      </c>
      <c r="AH103" s="251"/>
      <c r="AI103" s="253">
        <v>44593</v>
      </c>
      <c r="AJ103" s="136">
        <v>195.85</v>
      </c>
      <c r="AK103" s="250">
        <f t="shared" si="21"/>
        <v>1.2301648834444512E-2</v>
      </c>
      <c r="AL103" s="251"/>
      <c r="AM103" s="253">
        <v>44593</v>
      </c>
      <c r="AN103" s="136">
        <v>45.85</v>
      </c>
      <c r="AO103" s="250">
        <f t="shared" si="22"/>
        <v>5.4993097100782373E-2</v>
      </c>
      <c r="AP103" s="251"/>
      <c r="AQ103" s="253">
        <v>44593</v>
      </c>
      <c r="AR103" s="136">
        <v>246.18</v>
      </c>
      <c r="AS103" s="250">
        <f t="shared" si="23"/>
        <v>-1.9085946527473419E-2</v>
      </c>
      <c r="AT103" s="251"/>
      <c r="AU103" s="253">
        <v>44593</v>
      </c>
      <c r="AV103" s="136">
        <v>68.569999999999993</v>
      </c>
      <c r="AW103" s="250">
        <f t="shared" si="24"/>
        <v>1.7661027010982489E-2</v>
      </c>
      <c r="AX103" s="251"/>
      <c r="AY103" s="253">
        <v>44593</v>
      </c>
      <c r="AZ103" s="252">
        <v>4677.0200000000004</v>
      </c>
      <c r="BA103" s="250">
        <f t="shared" si="25"/>
        <v>-1.8706805030443641E-2</v>
      </c>
    </row>
    <row r="104" spans="3:53" ht="14.25" customHeight="1" x14ac:dyDescent="0.35">
      <c r="C104" s="248" t="s">
        <v>363</v>
      </c>
      <c r="D104" s="249">
        <v>173.71</v>
      </c>
      <c r="E104" s="250">
        <f t="shared" si="13"/>
        <v>2.3147602780068333E-2</v>
      </c>
      <c r="G104" s="248" t="s">
        <v>363</v>
      </c>
      <c r="H104" s="136">
        <v>59.21</v>
      </c>
      <c r="I104" s="250">
        <f t="shared" si="14"/>
        <v>1.7004465819306036E-2</v>
      </c>
      <c r="K104" s="248" t="s">
        <v>363</v>
      </c>
      <c r="L104" s="136">
        <v>36.86</v>
      </c>
      <c r="M104" s="250">
        <f t="shared" si="15"/>
        <v>2.5598219254312715E-2</v>
      </c>
      <c r="O104" s="248" t="s">
        <v>363</v>
      </c>
      <c r="P104" s="136">
        <v>48.02</v>
      </c>
      <c r="Q104" s="250">
        <f t="shared" si="16"/>
        <v>2.3444160272804826E-2</v>
      </c>
      <c r="R104" s="251"/>
      <c r="S104" s="248" t="s">
        <v>363</v>
      </c>
      <c r="T104" s="136">
        <v>48.81</v>
      </c>
      <c r="U104" s="250">
        <f t="shared" si="17"/>
        <v>2.1770985974461032E-2</v>
      </c>
      <c r="V104" s="251"/>
      <c r="W104" s="248" t="s">
        <v>363</v>
      </c>
      <c r="X104" s="136">
        <v>64.42</v>
      </c>
      <c r="Y104" s="250">
        <f t="shared" si="18"/>
        <v>2.4654048035629206E-2</v>
      </c>
      <c r="Z104" s="251"/>
      <c r="AA104" s="248" t="s">
        <v>363</v>
      </c>
      <c r="AB104" s="136">
        <v>35.9</v>
      </c>
      <c r="AC104" s="250">
        <f t="shared" si="19"/>
        <v>1.8439716312056653E-2</v>
      </c>
      <c r="AD104" s="251"/>
      <c r="AE104" s="248" t="s">
        <v>363</v>
      </c>
      <c r="AF104" s="136">
        <v>66.31</v>
      </c>
      <c r="AG104" s="250">
        <f t="shared" si="20"/>
        <v>2.109639667385288E-2</v>
      </c>
      <c r="AH104" s="251"/>
      <c r="AI104" s="248" t="s">
        <v>363</v>
      </c>
      <c r="AJ104" s="136">
        <v>193.47</v>
      </c>
      <c r="AK104" s="250">
        <f t="shared" si="21"/>
        <v>2.6583890480738503E-2</v>
      </c>
      <c r="AL104" s="251"/>
      <c r="AM104" s="248" t="s">
        <v>363</v>
      </c>
      <c r="AN104" s="136">
        <v>43.46</v>
      </c>
      <c r="AO104" s="250">
        <f t="shared" si="22"/>
        <v>3.5748331744518635E-2</v>
      </c>
      <c r="AP104" s="251"/>
      <c r="AQ104" s="248" t="s">
        <v>363</v>
      </c>
      <c r="AR104" s="136">
        <v>250.97</v>
      </c>
      <c r="AS104" s="250">
        <f t="shared" si="23"/>
        <v>2.8396984100967027E-2</v>
      </c>
      <c r="AT104" s="251"/>
      <c r="AU104" s="248" t="s">
        <v>363</v>
      </c>
      <c r="AV104" s="136">
        <v>67.38</v>
      </c>
      <c r="AW104" s="250">
        <f t="shared" si="24"/>
        <v>2.1063797545082696E-2</v>
      </c>
      <c r="AX104" s="251"/>
      <c r="AY104" s="248" t="s">
        <v>363</v>
      </c>
      <c r="AZ104" s="252">
        <v>4766.18</v>
      </c>
      <c r="BA104" s="250">
        <f t="shared" si="25"/>
        <v>8.5488533109878695E-3</v>
      </c>
    </row>
    <row r="105" spans="3:53" ht="14.25" customHeight="1" x14ac:dyDescent="0.35">
      <c r="C105" s="248" t="s">
        <v>364</v>
      </c>
      <c r="D105" s="249">
        <v>169.78</v>
      </c>
      <c r="E105" s="250">
        <f t="shared" si="13"/>
        <v>8.7938205585262885E-3</v>
      </c>
      <c r="G105" s="248" t="s">
        <v>364</v>
      </c>
      <c r="H105" s="136">
        <v>58.22</v>
      </c>
      <c r="I105" s="250">
        <f t="shared" si="14"/>
        <v>8.4877879785207888E-3</v>
      </c>
      <c r="K105" s="248" t="s">
        <v>364</v>
      </c>
      <c r="L105" s="136">
        <v>35.94</v>
      </c>
      <c r="M105" s="250">
        <f t="shared" si="15"/>
        <v>7.2869955156951161E-3</v>
      </c>
      <c r="O105" s="248" t="s">
        <v>364</v>
      </c>
      <c r="P105" s="136">
        <v>46.92</v>
      </c>
      <c r="Q105" s="250">
        <f t="shared" si="16"/>
        <v>2.4230517354289383E-2</v>
      </c>
      <c r="R105" s="251"/>
      <c r="S105" s="248" t="s">
        <v>364</v>
      </c>
      <c r="T105" s="136">
        <v>47.77</v>
      </c>
      <c r="U105" s="250">
        <f t="shared" si="17"/>
        <v>-8.303923603902863E-3</v>
      </c>
      <c r="V105" s="251"/>
      <c r="W105" s="248" t="s">
        <v>364</v>
      </c>
      <c r="X105" s="136">
        <v>62.87</v>
      </c>
      <c r="Y105" s="250">
        <f t="shared" si="18"/>
        <v>-2.4515128006206477E-2</v>
      </c>
      <c r="Z105" s="251"/>
      <c r="AA105" s="248" t="s">
        <v>364</v>
      </c>
      <c r="AB105" s="136">
        <v>35.25</v>
      </c>
      <c r="AC105" s="250">
        <f t="shared" si="19"/>
        <v>-7.3218811602364653E-3</v>
      </c>
      <c r="AD105" s="251"/>
      <c r="AE105" s="248" t="s">
        <v>364</v>
      </c>
      <c r="AF105" s="136">
        <v>64.94</v>
      </c>
      <c r="AG105" s="250">
        <f t="shared" si="20"/>
        <v>-3.0788177339891032E-4</v>
      </c>
      <c r="AH105" s="251"/>
      <c r="AI105" s="248" t="s">
        <v>364</v>
      </c>
      <c r="AJ105" s="136">
        <v>188.46</v>
      </c>
      <c r="AK105" s="250">
        <f t="shared" si="21"/>
        <v>4.4771346338343676E-3</v>
      </c>
      <c r="AL105" s="251"/>
      <c r="AM105" s="248" t="s">
        <v>364</v>
      </c>
      <c r="AN105" s="136">
        <v>41.96</v>
      </c>
      <c r="AO105" s="250">
        <f t="shared" si="22"/>
        <v>-2.6901669758812585E-2</v>
      </c>
      <c r="AP105" s="251"/>
      <c r="AQ105" s="248" t="s">
        <v>364</v>
      </c>
      <c r="AR105" s="136">
        <v>244.04</v>
      </c>
      <c r="AS105" s="250">
        <f t="shared" si="23"/>
        <v>7.3890608875128994E-3</v>
      </c>
      <c r="AT105" s="251"/>
      <c r="AU105" s="248" t="s">
        <v>364</v>
      </c>
      <c r="AV105" s="136">
        <v>65.989999999999995</v>
      </c>
      <c r="AW105" s="250">
        <f t="shared" si="24"/>
        <v>-2.4538063562453916E-2</v>
      </c>
      <c r="AX105" s="251"/>
      <c r="AY105" s="248" t="s">
        <v>364</v>
      </c>
      <c r="AZ105" s="252">
        <v>4725.78</v>
      </c>
      <c r="BA105" s="250">
        <f t="shared" si="25"/>
        <v>2.2754423629626874E-2</v>
      </c>
    </row>
    <row r="106" spans="3:53" ht="14.25" customHeight="1" x14ac:dyDescent="0.35">
      <c r="C106" s="253">
        <v>44542</v>
      </c>
      <c r="D106" s="249">
        <v>168.3</v>
      </c>
      <c r="E106" s="250">
        <f t="shared" si="13"/>
        <v>-3.9652009232407082E-3</v>
      </c>
      <c r="G106" s="253">
        <v>44542</v>
      </c>
      <c r="H106" s="136">
        <v>57.73</v>
      </c>
      <c r="I106" s="250">
        <f t="shared" si="14"/>
        <v>2.5764036958066727E-2</v>
      </c>
      <c r="K106" s="253">
        <v>44542</v>
      </c>
      <c r="L106" s="136">
        <v>35.68</v>
      </c>
      <c r="M106" s="250">
        <f t="shared" si="15"/>
        <v>1.0192525481313774E-2</v>
      </c>
      <c r="O106" s="253">
        <v>44542</v>
      </c>
      <c r="P106" s="136">
        <v>45.81</v>
      </c>
      <c r="Q106" s="250">
        <f t="shared" si="16"/>
        <v>2.3229841411659624E-2</v>
      </c>
      <c r="R106" s="251"/>
      <c r="S106" s="253">
        <v>44542</v>
      </c>
      <c r="T106" s="136">
        <v>48.17</v>
      </c>
      <c r="U106" s="250">
        <f t="shared" si="17"/>
        <v>4.7173913043478288E-2</v>
      </c>
      <c r="V106" s="251"/>
      <c r="W106" s="253">
        <v>44542</v>
      </c>
      <c r="X106" s="136">
        <v>64.45</v>
      </c>
      <c r="Y106" s="250">
        <f t="shared" si="18"/>
        <v>2.9223890130948726E-2</v>
      </c>
      <c r="Z106" s="251"/>
      <c r="AA106" s="253">
        <v>44542</v>
      </c>
      <c r="AB106" s="136">
        <v>35.51</v>
      </c>
      <c r="AC106" s="250">
        <f t="shared" si="19"/>
        <v>3.9824304538799371E-2</v>
      </c>
      <c r="AD106" s="251"/>
      <c r="AE106" s="253">
        <v>44542</v>
      </c>
      <c r="AF106" s="136">
        <v>64.959999999999994</v>
      </c>
      <c r="AG106" s="250">
        <f t="shared" si="20"/>
        <v>4.3366527465467319E-2</v>
      </c>
      <c r="AH106" s="251"/>
      <c r="AI106" s="253">
        <v>44542</v>
      </c>
      <c r="AJ106" s="136">
        <v>187.62</v>
      </c>
      <c r="AK106" s="250">
        <f t="shared" si="21"/>
        <v>5.9514235161655105E-3</v>
      </c>
      <c r="AL106" s="251"/>
      <c r="AM106" s="253">
        <v>44542</v>
      </c>
      <c r="AN106" s="136">
        <v>43.12</v>
      </c>
      <c r="AO106" s="250">
        <f t="shared" si="22"/>
        <v>-6.952491309386577E-4</v>
      </c>
      <c r="AP106" s="251"/>
      <c r="AQ106" s="253">
        <v>44542</v>
      </c>
      <c r="AR106" s="136">
        <v>242.25</v>
      </c>
      <c r="AS106" s="250">
        <f t="shared" si="23"/>
        <v>2.9449260581336123E-2</v>
      </c>
      <c r="AT106" s="251"/>
      <c r="AU106" s="253">
        <v>44542</v>
      </c>
      <c r="AV106" s="136">
        <v>67.650000000000006</v>
      </c>
      <c r="AW106" s="250">
        <f t="shared" si="24"/>
        <v>4.4626312538604163E-2</v>
      </c>
      <c r="AX106" s="251"/>
      <c r="AY106" s="253">
        <v>44542</v>
      </c>
      <c r="AZ106" s="252">
        <v>4620.6400000000003</v>
      </c>
      <c r="BA106" s="250">
        <f t="shared" si="25"/>
        <v>-1.9392956736176914E-2</v>
      </c>
    </row>
    <row r="107" spans="3:53" ht="14.25" customHeight="1" x14ac:dyDescent="0.35">
      <c r="C107" s="253">
        <v>44328</v>
      </c>
      <c r="D107" s="249">
        <v>168.97</v>
      </c>
      <c r="E107" s="250">
        <f t="shared" si="13"/>
        <v>2.586363912330758E-2</v>
      </c>
      <c r="G107" s="253">
        <v>44328</v>
      </c>
      <c r="H107" s="136">
        <v>56.28</v>
      </c>
      <c r="I107" s="250">
        <f t="shared" si="14"/>
        <v>5.1176690324990615E-2</v>
      </c>
      <c r="K107" s="253">
        <v>44328</v>
      </c>
      <c r="L107" s="136">
        <v>35.32</v>
      </c>
      <c r="M107" s="250">
        <f t="shared" si="15"/>
        <v>2.4659123875834021E-2</v>
      </c>
      <c r="O107" s="253">
        <v>44328</v>
      </c>
      <c r="P107" s="136">
        <v>44.77</v>
      </c>
      <c r="Q107" s="250">
        <f t="shared" si="16"/>
        <v>6.9772998805256892E-2</v>
      </c>
      <c r="R107" s="251"/>
      <c r="S107" s="253">
        <v>44328</v>
      </c>
      <c r="T107" s="136">
        <v>46</v>
      </c>
      <c r="U107" s="250">
        <f t="shared" si="17"/>
        <v>7.6527030189562417E-2</v>
      </c>
      <c r="V107" s="251"/>
      <c r="W107" s="253">
        <v>44328</v>
      </c>
      <c r="X107" s="136">
        <v>62.62</v>
      </c>
      <c r="Y107" s="250">
        <f t="shared" si="18"/>
        <v>-6.0317460317460547E-3</v>
      </c>
      <c r="Z107" s="251"/>
      <c r="AA107" s="253">
        <v>44328</v>
      </c>
      <c r="AB107" s="136">
        <v>34.15</v>
      </c>
      <c r="AC107" s="250">
        <f t="shared" si="19"/>
        <v>1.5160523186682484E-2</v>
      </c>
      <c r="AD107" s="251"/>
      <c r="AE107" s="253">
        <v>44328</v>
      </c>
      <c r="AF107" s="136">
        <v>62.26</v>
      </c>
      <c r="AG107" s="250">
        <f t="shared" si="20"/>
        <v>3.3189512114171871E-2</v>
      </c>
      <c r="AH107" s="251"/>
      <c r="AI107" s="253">
        <v>44328</v>
      </c>
      <c r="AJ107" s="136">
        <v>186.51</v>
      </c>
      <c r="AK107" s="250">
        <f t="shared" si="21"/>
        <v>3.8416569233338693E-2</v>
      </c>
      <c r="AL107" s="251"/>
      <c r="AM107" s="253">
        <v>44328</v>
      </c>
      <c r="AN107" s="136">
        <v>43.15</v>
      </c>
      <c r="AO107" s="250">
        <f t="shared" si="22"/>
        <v>4.9112569900315872E-2</v>
      </c>
      <c r="AP107" s="251"/>
      <c r="AQ107" s="253">
        <v>44328</v>
      </c>
      <c r="AR107" s="136">
        <v>235.32</v>
      </c>
      <c r="AS107" s="250">
        <f t="shared" si="23"/>
        <v>4.0364295503779957E-2</v>
      </c>
      <c r="AT107" s="251"/>
      <c r="AU107" s="253">
        <v>44328</v>
      </c>
      <c r="AV107" s="136">
        <v>64.760000000000005</v>
      </c>
      <c r="AW107" s="250">
        <f t="shared" si="24"/>
        <v>8.2515958274949064E-3</v>
      </c>
      <c r="AX107" s="251"/>
      <c r="AY107" s="253">
        <v>44328</v>
      </c>
      <c r="AZ107" s="252">
        <v>4712.0200000000004</v>
      </c>
      <c r="BA107" s="250">
        <f t="shared" si="25"/>
        <v>3.8248909865305825E-2</v>
      </c>
    </row>
    <row r="108" spans="3:53" ht="14.25" customHeight="1" x14ac:dyDescent="0.35">
      <c r="C108" s="248" t="s">
        <v>365</v>
      </c>
      <c r="D108" s="249">
        <v>164.71</v>
      </c>
      <c r="E108" s="250">
        <f t="shared" si="13"/>
        <v>2.215464813205914E-2</v>
      </c>
      <c r="G108" s="248" t="s">
        <v>365</v>
      </c>
      <c r="H108" s="136">
        <v>53.54</v>
      </c>
      <c r="I108" s="250">
        <f t="shared" si="14"/>
        <v>-3.536199516098959E-3</v>
      </c>
      <c r="K108" s="248" t="s">
        <v>365</v>
      </c>
      <c r="L108" s="136">
        <v>34.47</v>
      </c>
      <c r="M108" s="250">
        <f t="shared" si="15"/>
        <v>-1.4579759862778707E-2</v>
      </c>
      <c r="O108" s="248" t="s">
        <v>365</v>
      </c>
      <c r="P108" s="136">
        <v>41.85</v>
      </c>
      <c r="Q108" s="250">
        <f t="shared" si="16"/>
        <v>-3.8373161764705954E-2</v>
      </c>
      <c r="R108" s="251"/>
      <c r="S108" s="248" t="s">
        <v>365</v>
      </c>
      <c r="T108" s="136">
        <v>42.73</v>
      </c>
      <c r="U108" s="250">
        <f t="shared" si="17"/>
        <v>-1.8687222611540877E-3</v>
      </c>
      <c r="V108" s="251"/>
      <c r="W108" s="248" t="s">
        <v>365</v>
      </c>
      <c r="X108" s="136">
        <v>63</v>
      </c>
      <c r="Y108" s="250">
        <f t="shared" si="18"/>
        <v>-1.0056568196103122E-2</v>
      </c>
      <c r="Z108" s="251"/>
      <c r="AA108" s="248" t="s">
        <v>365</v>
      </c>
      <c r="AB108" s="136">
        <v>33.64</v>
      </c>
      <c r="AC108" s="250">
        <f t="shared" si="19"/>
        <v>-3.4165948894630982E-2</v>
      </c>
      <c r="AD108" s="251"/>
      <c r="AE108" s="248" t="s">
        <v>365</v>
      </c>
      <c r="AF108" s="136">
        <v>60.26</v>
      </c>
      <c r="AG108" s="250">
        <f t="shared" si="20"/>
        <v>1.6597510373439484E-4</v>
      </c>
      <c r="AH108" s="251"/>
      <c r="AI108" s="248" t="s">
        <v>365</v>
      </c>
      <c r="AJ108" s="136">
        <v>179.61</v>
      </c>
      <c r="AK108" s="250">
        <f t="shared" si="21"/>
        <v>9.4986510791368328E-3</v>
      </c>
      <c r="AL108" s="251"/>
      <c r="AM108" s="248" t="s">
        <v>365</v>
      </c>
      <c r="AN108" s="136">
        <v>41.13</v>
      </c>
      <c r="AO108" s="250">
        <f t="shared" si="22"/>
        <v>-9.3930635838150867E-3</v>
      </c>
      <c r="AP108" s="251"/>
      <c r="AQ108" s="248" t="s">
        <v>365</v>
      </c>
      <c r="AR108" s="136">
        <v>226.19</v>
      </c>
      <c r="AS108" s="250">
        <f t="shared" si="23"/>
        <v>-1.3649049363335108E-2</v>
      </c>
      <c r="AT108" s="251"/>
      <c r="AU108" s="248" t="s">
        <v>365</v>
      </c>
      <c r="AV108" s="136">
        <v>64.23</v>
      </c>
      <c r="AW108" s="250">
        <f t="shared" si="24"/>
        <v>2.342256214149141E-2</v>
      </c>
      <c r="AX108" s="251"/>
      <c r="AY108" s="248" t="s">
        <v>365</v>
      </c>
      <c r="AZ108" s="252">
        <v>4538.43</v>
      </c>
      <c r="BA108" s="250">
        <f t="shared" si="25"/>
        <v>-1.2229520613238898E-2</v>
      </c>
    </row>
    <row r="109" spans="3:53" ht="14.25" customHeight="1" x14ac:dyDescent="0.35">
      <c r="C109" s="248" t="s">
        <v>366</v>
      </c>
      <c r="D109" s="249">
        <v>161.13999999999999</v>
      </c>
      <c r="E109" s="250">
        <f t="shared" si="13"/>
        <v>-1.6299371222758152E-2</v>
      </c>
      <c r="G109" s="248" t="s">
        <v>366</v>
      </c>
      <c r="H109" s="136">
        <v>53.73</v>
      </c>
      <c r="I109" s="250">
        <f t="shared" si="14"/>
        <v>-2.5394522038817424E-2</v>
      </c>
      <c r="K109" s="248" t="s">
        <v>366</v>
      </c>
      <c r="L109" s="136">
        <v>34.979999999999997</v>
      </c>
      <c r="M109" s="250">
        <f t="shared" si="15"/>
        <v>-5.1194539249146409E-3</v>
      </c>
      <c r="O109" s="248" t="s">
        <v>366</v>
      </c>
      <c r="P109" s="136">
        <v>43.52</v>
      </c>
      <c r="Q109" s="250">
        <f t="shared" si="16"/>
        <v>-2.5307950727883388E-2</v>
      </c>
      <c r="R109" s="251"/>
      <c r="S109" s="248" t="s">
        <v>366</v>
      </c>
      <c r="T109" s="136">
        <v>42.81</v>
      </c>
      <c r="U109" s="250">
        <f t="shared" si="17"/>
        <v>4.2223786066151181E-3</v>
      </c>
      <c r="V109" s="251"/>
      <c r="W109" s="248" t="s">
        <v>366</v>
      </c>
      <c r="X109" s="136">
        <v>63.64</v>
      </c>
      <c r="Y109" s="250">
        <f t="shared" si="18"/>
        <v>2.7611819796544479E-2</v>
      </c>
      <c r="Z109" s="251"/>
      <c r="AA109" s="248" t="s">
        <v>366</v>
      </c>
      <c r="AB109" s="136">
        <v>34.83</v>
      </c>
      <c r="AC109" s="250">
        <f t="shared" si="19"/>
        <v>-1.4431239388794759E-2</v>
      </c>
      <c r="AD109" s="251"/>
      <c r="AE109" s="248" t="s">
        <v>366</v>
      </c>
      <c r="AF109" s="136">
        <v>60.25</v>
      </c>
      <c r="AG109" s="250">
        <f t="shared" si="20"/>
        <v>-4.4613350958361275E-3</v>
      </c>
      <c r="AH109" s="251"/>
      <c r="AI109" s="248" t="s">
        <v>366</v>
      </c>
      <c r="AJ109" s="136">
        <v>177.92</v>
      </c>
      <c r="AK109" s="250">
        <f t="shared" si="21"/>
        <v>-7.8625996765741002E-3</v>
      </c>
      <c r="AL109" s="251"/>
      <c r="AM109" s="248" t="s">
        <v>366</v>
      </c>
      <c r="AN109" s="136">
        <v>41.52</v>
      </c>
      <c r="AO109" s="250">
        <f t="shared" si="22"/>
        <v>2.3164120256284004E-2</v>
      </c>
      <c r="AP109" s="251"/>
      <c r="AQ109" s="248" t="s">
        <v>366</v>
      </c>
      <c r="AR109" s="136">
        <v>229.32</v>
      </c>
      <c r="AS109" s="250">
        <f t="shared" si="23"/>
        <v>-2.5828377230246446E-2</v>
      </c>
      <c r="AT109" s="251"/>
      <c r="AU109" s="248" t="s">
        <v>366</v>
      </c>
      <c r="AV109" s="136">
        <v>62.76</v>
      </c>
      <c r="AW109" s="250">
        <f t="shared" si="24"/>
        <v>1.1605415860735047E-2</v>
      </c>
      <c r="AX109" s="251"/>
      <c r="AY109" s="248" t="s">
        <v>366</v>
      </c>
      <c r="AZ109" s="252">
        <v>4594.62</v>
      </c>
      <c r="BA109" s="250">
        <f t="shared" si="25"/>
        <v>-2.1996781581792968E-2</v>
      </c>
    </row>
    <row r="110" spans="3:53" ht="14.25" customHeight="1" x14ac:dyDescent="0.35">
      <c r="C110" s="248" t="s">
        <v>367</v>
      </c>
      <c r="D110" s="249">
        <v>163.81</v>
      </c>
      <c r="E110" s="250">
        <f t="shared" si="13"/>
        <v>7.131878266215752E-3</v>
      </c>
      <c r="G110" s="248" t="s">
        <v>367</v>
      </c>
      <c r="H110" s="136">
        <v>55.13</v>
      </c>
      <c r="I110" s="250">
        <f t="shared" si="14"/>
        <v>-2.614379084967311E-2</v>
      </c>
      <c r="K110" s="248" t="s">
        <v>367</v>
      </c>
      <c r="L110" s="136">
        <v>35.159999999999997</v>
      </c>
      <c r="M110" s="250">
        <f t="shared" si="15"/>
        <v>-1.429772918418859E-2</v>
      </c>
      <c r="O110" s="248" t="s">
        <v>367</v>
      </c>
      <c r="P110" s="136">
        <v>44.65</v>
      </c>
      <c r="Q110" s="250">
        <f t="shared" si="16"/>
        <v>-2.9980447534216914E-2</v>
      </c>
      <c r="R110" s="251"/>
      <c r="S110" s="248" t="s">
        <v>367</v>
      </c>
      <c r="T110" s="136">
        <v>42.63</v>
      </c>
      <c r="U110" s="250">
        <f t="shared" si="17"/>
        <v>-1.8194380469829574E-2</v>
      </c>
      <c r="V110" s="251"/>
      <c r="W110" s="248" t="s">
        <v>367</v>
      </c>
      <c r="X110" s="136">
        <v>61.93</v>
      </c>
      <c r="Y110" s="250">
        <f t="shared" si="18"/>
        <v>-2.0404935147105285E-2</v>
      </c>
      <c r="Z110" s="251"/>
      <c r="AA110" s="248" t="s">
        <v>367</v>
      </c>
      <c r="AB110" s="136">
        <v>35.340000000000003</v>
      </c>
      <c r="AC110" s="250">
        <f t="shared" si="19"/>
        <v>-5.0510478237506651E-2</v>
      </c>
      <c r="AD110" s="251"/>
      <c r="AE110" s="248" t="s">
        <v>367</v>
      </c>
      <c r="AF110" s="136">
        <v>60.52</v>
      </c>
      <c r="AG110" s="250">
        <f t="shared" si="20"/>
        <v>-3.5998725708824453E-2</v>
      </c>
      <c r="AH110" s="251"/>
      <c r="AI110" s="248" t="s">
        <v>367</v>
      </c>
      <c r="AJ110" s="136">
        <v>179.33</v>
      </c>
      <c r="AK110" s="250">
        <f t="shared" si="21"/>
        <v>9.2295570938152327E-3</v>
      </c>
      <c r="AL110" s="251"/>
      <c r="AM110" s="248" t="s">
        <v>367</v>
      </c>
      <c r="AN110" s="136">
        <v>40.58</v>
      </c>
      <c r="AO110" s="250">
        <f t="shared" si="22"/>
        <v>-2.3345367027677422E-2</v>
      </c>
      <c r="AP110" s="251"/>
      <c r="AQ110" s="248" t="s">
        <v>367</v>
      </c>
      <c r="AR110" s="136">
        <v>235.4</v>
      </c>
      <c r="AS110" s="250">
        <f t="shared" si="23"/>
        <v>3.9706726734684894E-2</v>
      </c>
      <c r="AT110" s="251"/>
      <c r="AU110" s="248" t="s">
        <v>367</v>
      </c>
      <c r="AV110" s="136">
        <v>62.04</v>
      </c>
      <c r="AW110" s="250">
        <f t="shared" si="24"/>
        <v>-1.8975332068311257E-2</v>
      </c>
      <c r="AX110" s="251"/>
      <c r="AY110" s="248" t="s">
        <v>367</v>
      </c>
      <c r="AZ110" s="252">
        <v>4697.96</v>
      </c>
      <c r="BA110" s="250">
        <f t="shared" si="25"/>
        <v>3.2266675208472151E-3</v>
      </c>
    </row>
    <row r="111" spans="3:53" ht="14.25" customHeight="1" x14ac:dyDescent="0.35">
      <c r="C111" s="253">
        <v>44388</v>
      </c>
      <c r="D111" s="249">
        <v>162.65</v>
      </c>
      <c r="E111" s="250">
        <f t="shared" si="13"/>
        <v>-2.018072289156625E-2</v>
      </c>
      <c r="G111" s="253">
        <v>44388</v>
      </c>
      <c r="H111" s="136">
        <v>56.61</v>
      </c>
      <c r="I111" s="250">
        <f t="shared" si="14"/>
        <v>-4.0464461646728678E-3</v>
      </c>
      <c r="K111" s="253">
        <v>44388</v>
      </c>
      <c r="L111" s="136">
        <v>35.67</v>
      </c>
      <c r="M111" s="250">
        <f t="shared" si="15"/>
        <v>-1.9516217702034155E-2</v>
      </c>
      <c r="O111" s="253">
        <v>44388</v>
      </c>
      <c r="P111" s="136">
        <v>46.03</v>
      </c>
      <c r="Q111" s="250">
        <f t="shared" si="16"/>
        <v>4.8024448810302101E-3</v>
      </c>
      <c r="R111" s="251"/>
      <c r="S111" s="253">
        <v>44388</v>
      </c>
      <c r="T111" s="136">
        <v>43.42</v>
      </c>
      <c r="U111" s="250">
        <f t="shared" si="17"/>
        <v>4.8599861143254763E-3</v>
      </c>
      <c r="V111" s="251"/>
      <c r="W111" s="253">
        <v>44388</v>
      </c>
      <c r="X111" s="136">
        <v>63.22</v>
      </c>
      <c r="Y111" s="250">
        <f t="shared" si="18"/>
        <v>1.0549872122762149E-2</v>
      </c>
      <c r="Z111" s="251"/>
      <c r="AA111" s="253">
        <v>44388</v>
      </c>
      <c r="AB111" s="136">
        <v>37.22</v>
      </c>
      <c r="AC111" s="250">
        <f t="shared" si="19"/>
        <v>-1.6384778012685119E-2</v>
      </c>
      <c r="AD111" s="251"/>
      <c r="AE111" s="253">
        <v>44388</v>
      </c>
      <c r="AF111" s="136">
        <v>62.78</v>
      </c>
      <c r="AG111" s="250">
        <f t="shared" si="20"/>
        <v>8.3520719563123791E-3</v>
      </c>
      <c r="AH111" s="251"/>
      <c r="AI111" s="253">
        <v>44388</v>
      </c>
      <c r="AJ111" s="136">
        <v>177.69</v>
      </c>
      <c r="AK111" s="250">
        <f t="shared" si="21"/>
        <v>1.3113632476196013E-2</v>
      </c>
      <c r="AL111" s="251"/>
      <c r="AM111" s="253">
        <v>44388</v>
      </c>
      <c r="AN111" s="136">
        <v>41.55</v>
      </c>
      <c r="AO111" s="250">
        <f t="shared" si="22"/>
        <v>2.0132580407562051E-2</v>
      </c>
      <c r="AP111" s="251"/>
      <c r="AQ111" s="253">
        <v>44388</v>
      </c>
      <c r="AR111" s="136">
        <v>226.41</v>
      </c>
      <c r="AS111" s="250">
        <f t="shared" si="23"/>
        <v>1.6704836319547445E-2</v>
      </c>
      <c r="AT111" s="251"/>
      <c r="AU111" s="253">
        <v>44388</v>
      </c>
      <c r="AV111" s="136">
        <v>63.24</v>
      </c>
      <c r="AW111" s="250">
        <f t="shared" si="24"/>
        <v>9.4173982442138371E-3</v>
      </c>
      <c r="AX111" s="251"/>
      <c r="AY111" s="253">
        <v>44388</v>
      </c>
      <c r="AZ111" s="252">
        <v>4682.8500000000004</v>
      </c>
      <c r="BA111" s="250">
        <f t="shared" si="25"/>
        <v>-3.1250465670255023E-3</v>
      </c>
    </row>
    <row r="112" spans="3:53" ht="14.25" customHeight="1" x14ac:dyDescent="0.35">
      <c r="C112" s="248" t="s">
        <v>368</v>
      </c>
      <c r="D112" s="249">
        <v>166</v>
      </c>
      <c r="E112" s="250">
        <f t="shared" si="13"/>
        <v>2.7227722772277252E-2</v>
      </c>
      <c r="G112" s="248" t="s">
        <v>368</v>
      </c>
      <c r="H112" s="136">
        <v>56.84</v>
      </c>
      <c r="I112" s="250">
        <f t="shared" si="14"/>
        <v>8.3377683164804761E-3</v>
      </c>
      <c r="K112" s="248" t="s">
        <v>368</v>
      </c>
      <c r="L112" s="136">
        <v>36.380000000000003</v>
      </c>
      <c r="M112" s="250">
        <f t="shared" si="15"/>
        <v>8.0354668883346747E-3</v>
      </c>
      <c r="O112" s="248" t="s">
        <v>368</v>
      </c>
      <c r="P112" s="136">
        <v>45.81</v>
      </c>
      <c r="Q112" s="250">
        <f t="shared" si="16"/>
        <v>7.7882352941176514E-2</v>
      </c>
      <c r="R112" s="251"/>
      <c r="S112" s="248" t="s">
        <v>368</v>
      </c>
      <c r="T112" s="136">
        <v>43.21</v>
      </c>
      <c r="U112" s="250">
        <f t="shared" si="17"/>
        <v>2.1030245746691989E-2</v>
      </c>
      <c r="V112" s="251"/>
      <c r="W112" s="248" t="s">
        <v>368</v>
      </c>
      <c r="X112" s="136">
        <v>62.56</v>
      </c>
      <c r="Y112" s="250">
        <f t="shared" si="18"/>
        <v>2.0554649265905445E-2</v>
      </c>
      <c r="Z112" s="251"/>
      <c r="AA112" s="248" t="s">
        <v>368</v>
      </c>
      <c r="AB112" s="136">
        <v>37.840000000000003</v>
      </c>
      <c r="AC112" s="250">
        <f t="shared" si="19"/>
        <v>5.4332683198662579E-2</v>
      </c>
      <c r="AD112" s="251"/>
      <c r="AE112" s="248" t="s">
        <v>368</v>
      </c>
      <c r="AF112" s="136">
        <v>62.26</v>
      </c>
      <c r="AG112" s="250">
        <f t="shared" si="20"/>
        <v>2.5024695423114807E-2</v>
      </c>
      <c r="AH112" s="251"/>
      <c r="AI112" s="248" t="s">
        <v>368</v>
      </c>
      <c r="AJ112" s="136">
        <v>175.39</v>
      </c>
      <c r="AK112" s="250">
        <f t="shared" si="21"/>
        <v>2.2811519817511616E-4</v>
      </c>
      <c r="AL112" s="251"/>
      <c r="AM112" s="248" t="s">
        <v>368</v>
      </c>
      <c r="AN112" s="136">
        <v>40.729999999999997</v>
      </c>
      <c r="AO112" s="250">
        <f t="shared" si="22"/>
        <v>1.9524405506883502E-2</v>
      </c>
      <c r="AP112" s="251"/>
      <c r="AQ112" s="248" t="s">
        <v>368</v>
      </c>
      <c r="AR112" s="136">
        <v>222.69</v>
      </c>
      <c r="AS112" s="250">
        <f t="shared" si="23"/>
        <v>2.7120520271205262E-2</v>
      </c>
      <c r="AT112" s="251"/>
      <c r="AU112" s="248" t="s">
        <v>368</v>
      </c>
      <c r="AV112" s="136">
        <v>62.65</v>
      </c>
      <c r="AW112" s="250">
        <f t="shared" si="24"/>
        <v>1.3754045307443397E-2</v>
      </c>
      <c r="AX112" s="251"/>
      <c r="AY112" s="248" t="s">
        <v>368</v>
      </c>
      <c r="AZ112" s="252">
        <v>4697.53</v>
      </c>
      <c r="BA112" s="250">
        <f t="shared" si="25"/>
        <v>2.0009206623557541E-2</v>
      </c>
    </row>
    <row r="113" spans="3:53" ht="14.25" customHeight="1" x14ac:dyDescent="0.35">
      <c r="C113" s="248" t="s">
        <v>369</v>
      </c>
      <c r="D113" s="249">
        <v>161.6</v>
      </c>
      <c r="E113" s="250">
        <f t="shared" si="13"/>
        <v>1.0189410514471531E-2</v>
      </c>
      <c r="G113" s="248" t="s">
        <v>369</v>
      </c>
      <c r="H113" s="136">
        <v>56.37</v>
      </c>
      <c r="I113" s="250">
        <f t="shared" si="14"/>
        <v>3.526170798898054E-2</v>
      </c>
      <c r="K113" s="248" t="s">
        <v>369</v>
      </c>
      <c r="L113" s="136">
        <v>36.090000000000003</v>
      </c>
      <c r="M113" s="250">
        <f t="shared" si="15"/>
        <v>4.1257934218118963E-2</v>
      </c>
      <c r="O113" s="248" t="s">
        <v>369</v>
      </c>
      <c r="P113" s="136">
        <v>42.5</v>
      </c>
      <c r="Q113" s="250">
        <f t="shared" si="16"/>
        <v>3.068208638187464E-3</v>
      </c>
      <c r="R113" s="251"/>
      <c r="S113" s="248" t="s">
        <v>369</v>
      </c>
      <c r="T113" s="136">
        <v>42.32</v>
      </c>
      <c r="U113" s="250">
        <f t="shared" si="17"/>
        <v>7.3791954296595907E-3</v>
      </c>
      <c r="V113" s="251"/>
      <c r="W113" s="248" t="s">
        <v>369</v>
      </c>
      <c r="X113" s="136">
        <v>61.3</v>
      </c>
      <c r="Y113" s="250">
        <f t="shared" si="18"/>
        <v>-1.3200257566001294E-2</v>
      </c>
      <c r="Z113" s="251"/>
      <c r="AA113" s="248" t="s">
        <v>369</v>
      </c>
      <c r="AB113" s="136">
        <v>35.89</v>
      </c>
      <c r="AC113" s="250">
        <f t="shared" si="19"/>
        <v>-1.3468938977460154E-2</v>
      </c>
      <c r="AD113" s="251"/>
      <c r="AE113" s="248" t="s">
        <v>369</v>
      </c>
      <c r="AF113" s="136">
        <v>60.74</v>
      </c>
      <c r="AG113" s="250">
        <f t="shared" si="20"/>
        <v>3.6351619299404003E-3</v>
      </c>
      <c r="AH113" s="251"/>
      <c r="AI113" s="248" t="s">
        <v>369</v>
      </c>
      <c r="AJ113" s="136">
        <v>175.35</v>
      </c>
      <c r="AK113" s="250">
        <f t="shared" si="21"/>
        <v>-3.7067545304777627E-2</v>
      </c>
      <c r="AL113" s="251"/>
      <c r="AM113" s="248" t="s">
        <v>369</v>
      </c>
      <c r="AN113" s="136">
        <v>39.950000000000003</v>
      </c>
      <c r="AO113" s="250">
        <f t="shared" si="22"/>
        <v>-1.8427518427518441E-2</v>
      </c>
      <c r="AP113" s="251"/>
      <c r="AQ113" s="248" t="s">
        <v>369</v>
      </c>
      <c r="AR113" s="136">
        <v>216.81</v>
      </c>
      <c r="AS113" s="250">
        <f t="shared" si="23"/>
        <v>-1.1804922515952665E-2</v>
      </c>
      <c r="AT113" s="251"/>
      <c r="AU113" s="248" t="s">
        <v>369</v>
      </c>
      <c r="AV113" s="136">
        <v>61.8</v>
      </c>
      <c r="AW113" s="250">
        <f t="shared" si="24"/>
        <v>-1.4039566049776631E-2</v>
      </c>
      <c r="AX113" s="251"/>
      <c r="AY113" s="248" t="s">
        <v>369</v>
      </c>
      <c r="AZ113" s="252">
        <v>4605.38</v>
      </c>
      <c r="BA113" s="250">
        <f t="shared" si="25"/>
        <v>1.3307223481264785E-2</v>
      </c>
    </row>
    <row r="114" spans="3:53" ht="14.25" customHeight="1" x14ac:dyDescent="0.35">
      <c r="C114" s="248" t="s">
        <v>370</v>
      </c>
      <c r="D114" s="249">
        <v>159.97</v>
      </c>
      <c r="E114" s="250">
        <f t="shared" si="13"/>
        <v>7.3043259240601621E-3</v>
      </c>
      <c r="G114" s="248" t="s">
        <v>370</v>
      </c>
      <c r="H114" s="136">
        <v>54.45</v>
      </c>
      <c r="I114" s="250">
        <f t="shared" si="14"/>
        <v>-5.5066079295140735E-4</v>
      </c>
      <c r="K114" s="248" t="s">
        <v>370</v>
      </c>
      <c r="L114" s="136">
        <v>34.659999999999997</v>
      </c>
      <c r="M114" s="250">
        <f t="shared" si="15"/>
        <v>-1.8408382894364417E-2</v>
      </c>
      <c r="O114" s="248" t="s">
        <v>370</v>
      </c>
      <c r="P114" s="136">
        <v>42.37</v>
      </c>
      <c r="Q114" s="250">
        <f t="shared" si="16"/>
        <v>-9.8153774246320102E-3</v>
      </c>
      <c r="R114" s="251"/>
      <c r="S114" s="248" t="s">
        <v>370</v>
      </c>
      <c r="T114" s="136">
        <v>42.01</v>
      </c>
      <c r="U114" s="250">
        <f t="shared" si="17"/>
        <v>-1.5236755743084807E-2</v>
      </c>
      <c r="V114" s="251"/>
      <c r="W114" s="248" t="s">
        <v>370</v>
      </c>
      <c r="X114" s="136">
        <v>62.12</v>
      </c>
      <c r="Y114" s="250">
        <f t="shared" si="18"/>
        <v>5.3406700113287631E-3</v>
      </c>
      <c r="Z114" s="251"/>
      <c r="AA114" s="248" t="s">
        <v>370</v>
      </c>
      <c r="AB114" s="136">
        <v>36.380000000000003</v>
      </c>
      <c r="AC114" s="250">
        <f t="shared" si="19"/>
        <v>-1.6224986479177805E-2</v>
      </c>
      <c r="AD114" s="251"/>
      <c r="AE114" s="248" t="s">
        <v>370</v>
      </c>
      <c r="AF114" s="136">
        <v>60.52</v>
      </c>
      <c r="AG114" s="250">
        <f t="shared" si="20"/>
        <v>6.1512884455527939E-3</v>
      </c>
      <c r="AH114" s="251"/>
      <c r="AI114" s="248" t="s">
        <v>370</v>
      </c>
      <c r="AJ114" s="136">
        <v>182.1</v>
      </c>
      <c r="AK114" s="250">
        <f t="shared" si="21"/>
        <v>1.3863370636378658E-2</v>
      </c>
      <c r="AL114" s="251"/>
      <c r="AM114" s="248" t="s">
        <v>370</v>
      </c>
      <c r="AN114" s="136">
        <v>40.700000000000003</v>
      </c>
      <c r="AO114" s="250">
        <f t="shared" si="22"/>
        <v>-1.1175898931000794E-2</v>
      </c>
      <c r="AP114" s="251"/>
      <c r="AQ114" s="248" t="s">
        <v>370</v>
      </c>
      <c r="AR114" s="136">
        <v>219.4</v>
      </c>
      <c r="AS114" s="250">
        <f t="shared" si="23"/>
        <v>2.055263758849124E-3</v>
      </c>
      <c r="AT114" s="251"/>
      <c r="AU114" s="248" t="s">
        <v>370</v>
      </c>
      <c r="AV114" s="136">
        <v>62.68</v>
      </c>
      <c r="AW114" s="250">
        <f t="shared" si="24"/>
        <v>8.3655083655083118E-3</v>
      </c>
      <c r="AX114" s="251"/>
      <c r="AY114" s="248" t="s">
        <v>370</v>
      </c>
      <c r="AZ114" s="252">
        <v>4544.8999999999996</v>
      </c>
      <c r="BA114" s="250">
        <f t="shared" si="25"/>
        <v>1.6444624354504223E-2</v>
      </c>
    </row>
    <row r="115" spans="3:53" ht="14.25" customHeight="1" x14ac:dyDescent="0.35">
      <c r="C115" s="253">
        <v>44479</v>
      </c>
      <c r="D115" s="249">
        <v>158.81</v>
      </c>
      <c r="E115" s="250">
        <f t="shared" si="13"/>
        <v>1.7817086457732501E-2</v>
      </c>
      <c r="G115" s="253">
        <v>44479</v>
      </c>
      <c r="H115" s="136">
        <v>54.48</v>
      </c>
      <c r="I115" s="250">
        <f t="shared" si="14"/>
        <v>6.6518847006651338E-3</v>
      </c>
      <c r="K115" s="253">
        <v>44479</v>
      </c>
      <c r="L115" s="136">
        <v>35.31</v>
      </c>
      <c r="M115" s="250">
        <f t="shared" si="15"/>
        <v>7.7054794520547976E-3</v>
      </c>
      <c r="O115" s="253">
        <v>44479</v>
      </c>
      <c r="P115" s="136">
        <v>42.79</v>
      </c>
      <c r="Q115" s="250">
        <f t="shared" si="16"/>
        <v>-4.1227873627604827E-2</v>
      </c>
      <c r="R115" s="251"/>
      <c r="S115" s="253">
        <v>44479</v>
      </c>
      <c r="T115" s="136">
        <v>42.66</v>
      </c>
      <c r="U115" s="250">
        <f t="shared" si="17"/>
        <v>2.3266970496521822E-2</v>
      </c>
      <c r="V115" s="251"/>
      <c r="W115" s="253">
        <v>44479</v>
      </c>
      <c r="X115" s="136">
        <v>61.79</v>
      </c>
      <c r="Y115" s="250">
        <f t="shared" si="18"/>
        <v>-1.4356356675705784E-2</v>
      </c>
      <c r="Z115" s="251"/>
      <c r="AA115" s="253">
        <v>44479</v>
      </c>
      <c r="AB115" s="136">
        <v>36.979999999999997</v>
      </c>
      <c r="AC115" s="250">
        <f t="shared" si="19"/>
        <v>5.4377379010330795E-3</v>
      </c>
      <c r="AD115" s="251"/>
      <c r="AE115" s="253">
        <v>44479</v>
      </c>
      <c r="AF115" s="136">
        <v>60.15</v>
      </c>
      <c r="AG115" s="250">
        <f t="shared" si="20"/>
        <v>1.0245213301981915E-2</v>
      </c>
      <c r="AH115" s="251"/>
      <c r="AI115" s="253">
        <v>44479</v>
      </c>
      <c r="AJ115" s="136">
        <v>179.61</v>
      </c>
      <c r="AK115" s="250">
        <f t="shared" si="21"/>
        <v>1.0464135021097221E-2</v>
      </c>
      <c r="AL115" s="251"/>
      <c r="AM115" s="253">
        <v>44479</v>
      </c>
      <c r="AN115" s="136">
        <v>41.16</v>
      </c>
      <c r="AO115" s="250">
        <f t="shared" si="22"/>
        <v>-2.4875621890547372E-2</v>
      </c>
      <c r="AP115" s="251"/>
      <c r="AQ115" s="253">
        <v>44479</v>
      </c>
      <c r="AR115" s="136">
        <v>218.95</v>
      </c>
      <c r="AS115" s="250">
        <f t="shared" si="23"/>
        <v>-3.23226805062371E-3</v>
      </c>
      <c r="AT115" s="251"/>
      <c r="AU115" s="253">
        <v>44479</v>
      </c>
      <c r="AV115" s="136">
        <v>62.16</v>
      </c>
      <c r="AW115" s="250">
        <f t="shared" si="24"/>
        <v>1.1389521640090994E-2</v>
      </c>
      <c r="AX115" s="251"/>
      <c r="AY115" s="253">
        <v>44479</v>
      </c>
      <c r="AZ115" s="252">
        <v>4471.37</v>
      </c>
      <c r="BA115" s="250">
        <f t="shared" si="25"/>
        <v>1.8219868104641934E-2</v>
      </c>
    </row>
    <row r="116" spans="3:53" ht="14.25" customHeight="1" x14ac:dyDescent="0.35">
      <c r="C116" s="253">
        <v>44265</v>
      </c>
      <c r="D116" s="249">
        <v>156.03</v>
      </c>
      <c r="E116" s="250">
        <f t="shared" si="13"/>
        <v>3.3653527658165094E-2</v>
      </c>
      <c r="G116" s="253">
        <v>44265</v>
      </c>
      <c r="H116" s="136">
        <v>54.12</v>
      </c>
      <c r="I116" s="250">
        <f t="shared" si="14"/>
        <v>2.0746887966804906E-2</v>
      </c>
      <c r="K116" s="253">
        <v>44265</v>
      </c>
      <c r="L116" s="136">
        <v>35.04</v>
      </c>
      <c r="M116" s="250">
        <f t="shared" si="15"/>
        <v>5.5421686746987886E-2</v>
      </c>
      <c r="O116" s="253">
        <v>44265</v>
      </c>
      <c r="P116" s="136">
        <v>44.63</v>
      </c>
      <c r="Q116" s="250">
        <f t="shared" si="16"/>
        <v>-6.8980863373385715E-3</v>
      </c>
      <c r="R116" s="251"/>
      <c r="S116" s="253">
        <v>44265</v>
      </c>
      <c r="T116" s="136">
        <v>41.69</v>
      </c>
      <c r="U116" s="250">
        <f t="shared" si="17"/>
        <v>1.9564685742235133E-2</v>
      </c>
      <c r="V116" s="251"/>
      <c r="W116" s="253">
        <v>44265</v>
      </c>
      <c r="X116" s="136">
        <v>62.69</v>
      </c>
      <c r="Y116" s="250">
        <f t="shared" si="18"/>
        <v>-1.8475027399404986E-2</v>
      </c>
      <c r="Z116" s="251"/>
      <c r="AA116" s="253">
        <v>44265</v>
      </c>
      <c r="AB116" s="136">
        <v>36.78</v>
      </c>
      <c r="AC116" s="250">
        <f t="shared" si="19"/>
        <v>2.7262813522355156E-3</v>
      </c>
      <c r="AD116" s="251"/>
      <c r="AE116" s="253">
        <v>44265</v>
      </c>
      <c r="AF116" s="136">
        <v>59.54</v>
      </c>
      <c r="AG116" s="250">
        <f t="shared" si="20"/>
        <v>2.2848307850884764E-2</v>
      </c>
      <c r="AH116" s="251"/>
      <c r="AI116" s="253">
        <v>44265</v>
      </c>
      <c r="AJ116" s="136">
        <v>177.75</v>
      </c>
      <c r="AK116" s="250">
        <f t="shared" si="21"/>
        <v>4.0812741538821973E-2</v>
      </c>
      <c r="AL116" s="251"/>
      <c r="AM116" s="253">
        <v>44265</v>
      </c>
      <c r="AN116" s="136">
        <v>42.21</v>
      </c>
      <c r="AO116" s="250">
        <f t="shared" si="22"/>
        <v>1.6373705754876067E-2</v>
      </c>
      <c r="AP116" s="251"/>
      <c r="AQ116" s="253">
        <v>44265</v>
      </c>
      <c r="AR116" s="136">
        <v>219.66</v>
      </c>
      <c r="AS116" s="250">
        <f t="shared" si="23"/>
        <v>2.8948847667228828E-2</v>
      </c>
      <c r="AT116" s="251"/>
      <c r="AU116" s="253">
        <v>44265</v>
      </c>
      <c r="AV116" s="136">
        <v>61.46</v>
      </c>
      <c r="AW116" s="250">
        <f t="shared" si="24"/>
        <v>1.3856812933025431E-2</v>
      </c>
      <c r="AX116" s="251"/>
      <c r="AY116" s="253">
        <v>44265</v>
      </c>
      <c r="AZ116" s="252">
        <v>4391.3599999999997</v>
      </c>
      <c r="BA116" s="250">
        <f t="shared" si="25"/>
        <v>7.8745940487254806E-3</v>
      </c>
    </row>
    <row r="117" spans="3:53" ht="14.25" customHeight="1" x14ac:dyDescent="0.35">
      <c r="C117" s="248" t="s">
        <v>371</v>
      </c>
      <c r="D117" s="249">
        <v>150.94999999999999</v>
      </c>
      <c r="E117" s="250">
        <f t="shared" si="13"/>
        <v>-2.1076523994811969E-2</v>
      </c>
      <c r="G117" s="248" t="s">
        <v>371</v>
      </c>
      <c r="H117" s="136">
        <v>53.02</v>
      </c>
      <c r="I117" s="250">
        <f t="shared" si="14"/>
        <v>-1.614399703098901E-2</v>
      </c>
      <c r="K117" s="248" t="s">
        <v>371</v>
      </c>
      <c r="L117" s="136">
        <v>33.200000000000003</v>
      </c>
      <c r="M117" s="250">
        <f t="shared" si="15"/>
        <v>-1.9781517567168394E-2</v>
      </c>
      <c r="O117" s="248" t="s">
        <v>371</v>
      </c>
      <c r="P117" s="136">
        <v>44.94</v>
      </c>
      <c r="Q117" s="250">
        <f t="shared" si="16"/>
        <v>-3.0838904464093209E-2</v>
      </c>
      <c r="R117" s="251"/>
      <c r="S117" s="248" t="s">
        <v>371</v>
      </c>
      <c r="T117" s="136">
        <v>40.89</v>
      </c>
      <c r="U117" s="250">
        <f t="shared" si="17"/>
        <v>2.2058823529411686E-3</v>
      </c>
      <c r="V117" s="251"/>
      <c r="W117" s="248" t="s">
        <v>371</v>
      </c>
      <c r="X117" s="136">
        <v>63.87</v>
      </c>
      <c r="Y117" s="250">
        <f t="shared" si="18"/>
        <v>1.4111006585135755E-3</v>
      </c>
      <c r="Z117" s="251"/>
      <c r="AA117" s="248" t="s">
        <v>371</v>
      </c>
      <c r="AB117" s="136">
        <v>36.68</v>
      </c>
      <c r="AC117" s="250">
        <f t="shared" si="19"/>
        <v>7.969222313822355E-3</v>
      </c>
      <c r="AD117" s="251"/>
      <c r="AE117" s="248" t="s">
        <v>371</v>
      </c>
      <c r="AF117" s="136">
        <v>58.21</v>
      </c>
      <c r="AG117" s="250">
        <f t="shared" si="20"/>
        <v>-3.5619615639496338E-2</v>
      </c>
      <c r="AH117" s="251"/>
      <c r="AI117" s="248" t="s">
        <v>371</v>
      </c>
      <c r="AJ117" s="136">
        <v>170.78</v>
      </c>
      <c r="AK117" s="250">
        <f t="shared" si="21"/>
        <v>-1.8731326131923631E-2</v>
      </c>
      <c r="AL117" s="251"/>
      <c r="AM117" s="248" t="s">
        <v>371</v>
      </c>
      <c r="AN117" s="136">
        <v>41.53</v>
      </c>
      <c r="AO117" s="250">
        <f t="shared" si="22"/>
        <v>-2.1211407023332463E-2</v>
      </c>
      <c r="AP117" s="251"/>
      <c r="AQ117" s="248" t="s">
        <v>371</v>
      </c>
      <c r="AR117" s="136">
        <v>213.48</v>
      </c>
      <c r="AS117" s="250">
        <f t="shared" si="23"/>
        <v>4.0447747154548352E-3</v>
      </c>
      <c r="AT117" s="251"/>
      <c r="AU117" s="248" t="s">
        <v>371</v>
      </c>
      <c r="AV117" s="136">
        <v>60.62</v>
      </c>
      <c r="AW117" s="250">
        <f t="shared" si="24"/>
        <v>1.3214403700032573E-3</v>
      </c>
      <c r="AX117" s="251"/>
      <c r="AY117" s="248" t="s">
        <v>371</v>
      </c>
      <c r="AZ117" s="252">
        <v>4357.05</v>
      </c>
      <c r="BA117" s="250">
        <f t="shared" si="25"/>
        <v>-2.2091895822672125E-2</v>
      </c>
    </row>
    <row r="118" spans="3:53" ht="14.25" customHeight="1" x14ac:dyDescent="0.35">
      <c r="C118" s="248" t="s">
        <v>372</v>
      </c>
      <c r="D118" s="249">
        <v>154.19999999999999</v>
      </c>
      <c r="E118" s="250">
        <f t="shared" si="13"/>
        <v>4.5416207097903616E-4</v>
      </c>
      <c r="G118" s="248" t="s">
        <v>372</v>
      </c>
      <c r="H118" s="136">
        <v>53.89</v>
      </c>
      <c r="I118" s="250">
        <f t="shared" si="14"/>
        <v>-1.0102865540044026E-2</v>
      </c>
      <c r="K118" s="248" t="s">
        <v>372</v>
      </c>
      <c r="L118" s="136">
        <v>33.869999999999997</v>
      </c>
      <c r="M118" s="250">
        <f t="shared" si="15"/>
        <v>-2.979089086221709E-2</v>
      </c>
      <c r="O118" s="248" t="s">
        <v>372</v>
      </c>
      <c r="P118" s="136">
        <v>46.37</v>
      </c>
      <c r="Q118" s="250">
        <f t="shared" si="16"/>
        <v>-2.0076077768385492E-2</v>
      </c>
      <c r="R118" s="251"/>
      <c r="S118" s="248" t="s">
        <v>372</v>
      </c>
      <c r="T118" s="136">
        <v>40.799999999999997</v>
      </c>
      <c r="U118" s="250">
        <f t="shared" si="17"/>
        <v>-2.9033793431699317E-2</v>
      </c>
      <c r="V118" s="251"/>
      <c r="W118" s="248" t="s">
        <v>372</v>
      </c>
      <c r="X118" s="136">
        <v>63.78</v>
      </c>
      <c r="Y118" s="250">
        <f t="shared" si="18"/>
        <v>3.4612964128382107E-3</v>
      </c>
      <c r="Z118" s="251"/>
      <c r="AA118" s="248" t="s">
        <v>372</v>
      </c>
      <c r="AB118" s="136">
        <v>36.39</v>
      </c>
      <c r="AC118" s="250">
        <f t="shared" si="19"/>
        <v>-4.3775649794800531E-3</v>
      </c>
      <c r="AD118" s="251"/>
      <c r="AE118" s="248" t="s">
        <v>372</v>
      </c>
      <c r="AF118" s="136">
        <v>60.36</v>
      </c>
      <c r="AG118" s="250">
        <f t="shared" si="20"/>
        <v>-9.5175582540203418E-3</v>
      </c>
      <c r="AH118" s="251"/>
      <c r="AI118" s="248" t="s">
        <v>372</v>
      </c>
      <c r="AJ118" s="136">
        <v>174.04</v>
      </c>
      <c r="AK118" s="250">
        <f t="shared" si="21"/>
        <v>-5.8833609413377896E-3</v>
      </c>
      <c r="AL118" s="251"/>
      <c r="AM118" s="248" t="s">
        <v>372</v>
      </c>
      <c r="AN118" s="136">
        <v>42.43</v>
      </c>
      <c r="AO118" s="250">
        <f t="shared" si="22"/>
        <v>-1.7596665894883068E-2</v>
      </c>
      <c r="AP118" s="251"/>
      <c r="AQ118" s="248" t="s">
        <v>372</v>
      </c>
      <c r="AR118" s="136">
        <v>212.62</v>
      </c>
      <c r="AS118" s="250">
        <f t="shared" si="23"/>
        <v>-1.037933441936234E-2</v>
      </c>
      <c r="AT118" s="251"/>
      <c r="AU118" s="248" t="s">
        <v>372</v>
      </c>
      <c r="AV118" s="136">
        <v>60.54</v>
      </c>
      <c r="AW118" s="250">
        <f t="shared" si="24"/>
        <v>2.7494908350305547E-2</v>
      </c>
      <c r="AX118" s="251"/>
      <c r="AY118" s="248" t="s">
        <v>372</v>
      </c>
      <c r="AZ118" s="252">
        <v>4455.4799999999996</v>
      </c>
      <c r="BA118" s="250">
        <f t="shared" si="25"/>
        <v>5.0733252274424157E-3</v>
      </c>
    </row>
    <row r="119" spans="3:53" ht="14.25" customHeight="1" x14ac:dyDescent="0.35">
      <c r="C119" s="253">
        <v>44539</v>
      </c>
      <c r="D119" s="249">
        <v>154.13</v>
      </c>
      <c r="E119" s="250">
        <f t="shared" si="13"/>
        <v>-8.5552553711566448E-3</v>
      </c>
      <c r="G119" s="253">
        <v>44539</v>
      </c>
      <c r="H119" s="136">
        <v>54.44</v>
      </c>
      <c r="I119" s="250">
        <f t="shared" si="14"/>
        <v>-2.1039381406221969E-2</v>
      </c>
      <c r="K119" s="253">
        <v>44539</v>
      </c>
      <c r="L119" s="136">
        <v>34.909999999999997</v>
      </c>
      <c r="M119" s="250">
        <f t="shared" si="15"/>
        <v>2.296870513924798E-3</v>
      </c>
      <c r="O119" s="253">
        <v>44539</v>
      </c>
      <c r="P119" s="136">
        <v>47.32</v>
      </c>
      <c r="Q119" s="250">
        <f t="shared" si="16"/>
        <v>-1.334445371142623E-2</v>
      </c>
      <c r="R119" s="251"/>
      <c r="S119" s="253">
        <v>44539</v>
      </c>
      <c r="T119" s="136">
        <v>42.02</v>
      </c>
      <c r="U119" s="250">
        <f t="shared" si="17"/>
        <v>-6.854171590640501E-3</v>
      </c>
      <c r="V119" s="251"/>
      <c r="W119" s="253">
        <v>44539</v>
      </c>
      <c r="X119" s="136">
        <v>63.56</v>
      </c>
      <c r="Y119" s="250">
        <f t="shared" si="18"/>
        <v>1.3069811922218788E-2</v>
      </c>
      <c r="Z119" s="251"/>
      <c r="AA119" s="253">
        <v>44539</v>
      </c>
      <c r="AB119" s="136">
        <v>36.549999999999997</v>
      </c>
      <c r="AC119" s="250">
        <f t="shared" si="19"/>
        <v>6.0556014313239981E-3</v>
      </c>
      <c r="AD119" s="251"/>
      <c r="AE119" s="253">
        <v>44539</v>
      </c>
      <c r="AF119" s="136">
        <v>60.94</v>
      </c>
      <c r="AG119" s="250">
        <f t="shared" si="20"/>
        <v>1.1788145442470643E-2</v>
      </c>
      <c r="AH119" s="251"/>
      <c r="AI119" s="253">
        <v>44539</v>
      </c>
      <c r="AJ119" s="136">
        <v>175.07</v>
      </c>
      <c r="AK119" s="250">
        <f t="shared" si="21"/>
        <v>5.7123272021009086E-5</v>
      </c>
      <c r="AL119" s="251"/>
      <c r="AM119" s="253">
        <v>44539</v>
      </c>
      <c r="AN119" s="136">
        <v>43.19</v>
      </c>
      <c r="AO119" s="250">
        <f t="shared" si="22"/>
        <v>9.2699884125146959E-4</v>
      </c>
      <c r="AP119" s="251"/>
      <c r="AQ119" s="253">
        <v>44539</v>
      </c>
      <c r="AR119" s="136">
        <v>214.85</v>
      </c>
      <c r="AS119" s="250">
        <f t="shared" si="23"/>
        <v>4.3943714646346166E-3</v>
      </c>
      <c r="AT119" s="251"/>
      <c r="AU119" s="253">
        <v>44539</v>
      </c>
      <c r="AV119" s="136">
        <v>58.92</v>
      </c>
      <c r="AW119" s="250">
        <f t="shared" si="24"/>
        <v>8.3861030292657901E-3</v>
      </c>
      <c r="AX119" s="251"/>
      <c r="AY119" s="253">
        <v>44539</v>
      </c>
      <c r="AZ119" s="252">
        <v>4432.99</v>
      </c>
      <c r="BA119" s="250">
        <f t="shared" si="25"/>
        <v>-5.7394955344527432E-3</v>
      </c>
    </row>
    <row r="120" spans="3:53" ht="14.25" customHeight="1" x14ac:dyDescent="0.35">
      <c r="C120" s="253">
        <v>44325</v>
      </c>
      <c r="D120" s="249">
        <v>155.46</v>
      </c>
      <c r="E120" s="250">
        <f t="shared" si="13"/>
        <v>-1.0376217454962089E-2</v>
      </c>
      <c r="G120" s="253">
        <v>44325</v>
      </c>
      <c r="H120" s="136">
        <v>55.61</v>
      </c>
      <c r="I120" s="250">
        <f t="shared" si="14"/>
        <v>-1.9742640578177317E-2</v>
      </c>
      <c r="K120" s="253">
        <v>44325</v>
      </c>
      <c r="L120" s="136">
        <v>34.83</v>
      </c>
      <c r="M120" s="250">
        <f t="shared" si="15"/>
        <v>-1.1634506242905851E-2</v>
      </c>
      <c r="O120" s="253">
        <v>44325</v>
      </c>
      <c r="P120" s="136">
        <v>47.96</v>
      </c>
      <c r="Q120" s="250">
        <f t="shared" si="16"/>
        <v>-1.7011682721869148E-2</v>
      </c>
      <c r="R120" s="251"/>
      <c r="S120" s="253">
        <v>44325</v>
      </c>
      <c r="T120" s="136">
        <v>42.31</v>
      </c>
      <c r="U120" s="250">
        <f t="shared" si="17"/>
        <v>-1.1679514132212132E-2</v>
      </c>
      <c r="V120" s="251"/>
      <c r="W120" s="253">
        <v>44325</v>
      </c>
      <c r="X120" s="136">
        <v>62.74</v>
      </c>
      <c r="Y120" s="250">
        <f t="shared" si="18"/>
        <v>-1.1034047919293744E-2</v>
      </c>
      <c r="Z120" s="251"/>
      <c r="AA120" s="253">
        <v>44325</v>
      </c>
      <c r="AB120" s="136">
        <v>36.33</v>
      </c>
      <c r="AC120" s="250">
        <f t="shared" si="19"/>
        <v>1.3954786491766624E-2</v>
      </c>
      <c r="AD120" s="251"/>
      <c r="AE120" s="253">
        <v>44325</v>
      </c>
      <c r="AF120" s="136">
        <v>60.23</v>
      </c>
      <c r="AG120" s="250">
        <f t="shared" si="20"/>
        <v>-2.4141283214517251E-2</v>
      </c>
      <c r="AH120" s="251"/>
      <c r="AI120" s="253">
        <v>44325</v>
      </c>
      <c r="AJ120" s="136">
        <v>175.06</v>
      </c>
      <c r="AK120" s="250">
        <f t="shared" si="21"/>
        <v>-1.6461598966234114E-2</v>
      </c>
      <c r="AL120" s="251"/>
      <c r="AM120" s="253">
        <v>44325</v>
      </c>
      <c r="AN120" s="136">
        <v>43.15</v>
      </c>
      <c r="AO120" s="250">
        <f t="shared" si="22"/>
        <v>2.3228803716608404E-3</v>
      </c>
      <c r="AP120" s="251"/>
      <c r="AQ120" s="253">
        <v>44325</v>
      </c>
      <c r="AR120" s="136">
        <v>213.91</v>
      </c>
      <c r="AS120" s="250">
        <f t="shared" si="23"/>
        <v>9.8191946372090388E-3</v>
      </c>
      <c r="AT120" s="251"/>
      <c r="AU120" s="253">
        <v>44325</v>
      </c>
      <c r="AV120" s="136">
        <v>58.43</v>
      </c>
      <c r="AW120" s="250">
        <f t="shared" si="24"/>
        <v>1.1424614851999193E-2</v>
      </c>
      <c r="AX120" s="251"/>
      <c r="AY120" s="253">
        <v>44325</v>
      </c>
      <c r="AZ120" s="252">
        <v>4458.58</v>
      </c>
      <c r="BA120" s="250">
        <f t="shared" si="25"/>
        <v>-1.6944369111638879E-2</v>
      </c>
    </row>
    <row r="121" spans="3:53" ht="14.25" customHeight="1" x14ac:dyDescent="0.35">
      <c r="C121" s="248" t="s">
        <v>373</v>
      </c>
      <c r="D121" s="249">
        <v>157.09</v>
      </c>
      <c r="E121" s="250">
        <f t="shared" si="13"/>
        <v>1.3876339228088286E-2</v>
      </c>
      <c r="G121" s="248" t="s">
        <v>373</v>
      </c>
      <c r="H121" s="136">
        <v>56.73</v>
      </c>
      <c r="I121" s="250">
        <f t="shared" si="14"/>
        <v>1.9407008086253397E-2</v>
      </c>
      <c r="K121" s="248" t="s">
        <v>373</v>
      </c>
      <c r="L121" s="136">
        <v>35.24</v>
      </c>
      <c r="M121" s="250">
        <f t="shared" si="15"/>
        <v>3.1312268716197078E-3</v>
      </c>
      <c r="O121" s="248" t="s">
        <v>373</v>
      </c>
      <c r="P121" s="136">
        <v>48.79</v>
      </c>
      <c r="Q121" s="250">
        <f t="shared" si="16"/>
        <v>2.6715988491574638E-3</v>
      </c>
      <c r="R121" s="251"/>
      <c r="S121" s="248" t="s">
        <v>373</v>
      </c>
      <c r="T121" s="136">
        <v>42.81</v>
      </c>
      <c r="U121" s="250">
        <f t="shared" si="17"/>
        <v>-4.6972395369545894E-2</v>
      </c>
      <c r="V121" s="251"/>
      <c r="W121" s="248" t="s">
        <v>373</v>
      </c>
      <c r="X121" s="136">
        <v>63.44</v>
      </c>
      <c r="Y121" s="250">
        <f t="shared" si="18"/>
        <v>2.5284450063209896E-3</v>
      </c>
      <c r="Z121" s="251"/>
      <c r="AA121" s="248" t="s">
        <v>373</v>
      </c>
      <c r="AB121" s="136">
        <v>35.83</v>
      </c>
      <c r="AC121" s="250">
        <f t="shared" si="19"/>
        <v>-1.5118196811435003E-2</v>
      </c>
      <c r="AD121" s="251"/>
      <c r="AE121" s="248" t="s">
        <v>373</v>
      </c>
      <c r="AF121" s="136">
        <v>61.72</v>
      </c>
      <c r="AG121" s="250">
        <f t="shared" si="20"/>
        <v>-2.746808854419136E-3</v>
      </c>
      <c r="AH121" s="251"/>
      <c r="AI121" s="248" t="s">
        <v>373</v>
      </c>
      <c r="AJ121" s="136">
        <v>177.99</v>
      </c>
      <c r="AK121" s="250">
        <f t="shared" si="21"/>
        <v>1.3437339862210296E-2</v>
      </c>
      <c r="AL121" s="251"/>
      <c r="AM121" s="248" t="s">
        <v>373</v>
      </c>
      <c r="AN121" s="136">
        <v>43.05</v>
      </c>
      <c r="AO121" s="250">
        <f t="shared" si="22"/>
        <v>3.9855072463768071E-2</v>
      </c>
      <c r="AP121" s="251"/>
      <c r="AQ121" s="248" t="s">
        <v>373</v>
      </c>
      <c r="AR121" s="136">
        <v>211.83</v>
      </c>
      <c r="AS121" s="250">
        <f t="shared" si="23"/>
        <v>-2.7775162414084287E-3</v>
      </c>
      <c r="AT121" s="251"/>
      <c r="AU121" s="248" t="s">
        <v>373</v>
      </c>
      <c r="AV121" s="136">
        <v>57.77</v>
      </c>
      <c r="AW121" s="250">
        <f t="shared" si="24"/>
        <v>6.9288065130801435E-4</v>
      </c>
      <c r="AX121" s="251"/>
      <c r="AY121" s="248" t="s">
        <v>373</v>
      </c>
      <c r="AZ121" s="252">
        <v>4535.43</v>
      </c>
      <c r="BA121" s="250">
        <f t="shared" si="25"/>
        <v>5.7790777869193288E-3</v>
      </c>
    </row>
    <row r="122" spans="3:53" ht="14.25" customHeight="1" x14ac:dyDescent="0.35">
      <c r="C122" s="248" t="s">
        <v>374</v>
      </c>
      <c r="D122" s="249">
        <v>154.94</v>
      </c>
      <c r="E122" s="250">
        <f t="shared" si="13"/>
        <v>-2.1534575307862291E-2</v>
      </c>
      <c r="G122" s="248" t="s">
        <v>374</v>
      </c>
      <c r="H122" s="136">
        <v>55.65</v>
      </c>
      <c r="I122" s="250">
        <f t="shared" si="14"/>
        <v>-1.7478813559322015E-2</v>
      </c>
      <c r="K122" s="248" t="s">
        <v>374</v>
      </c>
      <c r="L122" s="136">
        <v>35.130000000000003</v>
      </c>
      <c r="M122" s="250">
        <f t="shared" si="15"/>
        <v>8.9029293509477192E-3</v>
      </c>
      <c r="O122" s="248" t="s">
        <v>374</v>
      </c>
      <c r="P122" s="136">
        <v>48.66</v>
      </c>
      <c r="Q122" s="250">
        <f t="shared" si="16"/>
        <v>5.9954517262765794E-3</v>
      </c>
      <c r="R122" s="251"/>
      <c r="S122" s="248" t="s">
        <v>374</v>
      </c>
      <c r="T122" s="136">
        <v>44.92</v>
      </c>
      <c r="U122" s="250">
        <f t="shared" si="17"/>
        <v>-3.0433844161450341E-2</v>
      </c>
      <c r="V122" s="251"/>
      <c r="W122" s="248" t="s">
        <v>374</v>
      </c>
      <c r="X122" s="136">
        <v>63.28</v>
      </c>
      <c r="Y122" s="250">
        <f t="shared" si="18"/>
        <v>-4.3530834340991476E-2</v>
      </c>
      <c r="Z122" s="251"/>
      <c r="AA122" s="248" t="s">
        <v>374</v>
      </c>
      <c r="AB122" s="136">
        <v>36.380000000000003</v>
      </c>
      <c r="AC122" s="250">
        <f t="shared" si="19"/>
        <v>-6.0109289617485961E-3</v>
      </c>
      <c r="AD122" s="251"/>
      <c r="AE122" s="248" t="s">
        <v>374</v>
      </c>
      <c r="AF122" s="136">
        <v>61.89</v>
      </c>
      <c r="AG122" s="250">
        <f t="shared" si="20"/>
        <v>-2.5200819026618415E-2</v>
      </c>
      <c r="AH122" s="251"/>
      <c r="AI122" s="248" t="s">
        <v>374</v>
      </c>
      <c r="AJ122" s="136">
        <v>175.63</v>
      </c>
      <c r="AK122" s="250">
        <f t="shared" si="21"/>
        <v>-2.4440371049269549E-2</v>
      </c>
      <c r="AL122" s="251"/>
      <c r="AM122" s="248" t="s">
        <v>374</v>
      </c>
      <c r="AN122" s="136">
        <v>41.4</v>
      </c>
      <c r="AO122" s="250">
        <f t="shared" si="22"/>
        <v>-4.3438077634011196E-2</v>
      </c>
      <c r="AP122" s="251"/>
      <c r="AQ122" s="248" t="s">
        <v>374</v>
      </c>
      <c r="AR122" s="136">
        <v>212.42</v>
      </c>
      <c r="AS122" s="250">
        <f t="shared" si="23"/>
        <v>-6.5940232895291828E-3</v>
      </c>
      <c r="AT122" s="251"/>
      <c r="AU122" s="248" t="s">
        <v>374</v>
      </c>
      <c r="AV122" s="136">
        <v>57.73</v>
      </c>
      <c r="AW122" s="250">
        <f t="shared" si="24"/>
        <v>-4.2620232172471018E-2</v>
      </c>
      <c r="AX122" s="251"/>
      <c r="AY122" s="248" t="s">
        <v>374</v>
      </c>
      <c r="AZ122" s="252">
        <v>4509.37</v>
      </c>
      <c r="BA122" s="250">
        <f t="shared" si="25"/>
        <v>1.5242014827756112E-2</v>
      </c>
    </row>
    <row r="123" spans="3:53" ht="14.25" customHeight="1" x14ac:dyDescent="0.35">
      <c r="C123" s="248" t="s">
        <v>375</v>
      </c>
      <c r="D123" s="249">
        <v>158.35</v>
      </c>
      <c r="E123" s="250">
        <f t="shared" si="13"/>
        <v>1.1691796575517444E-2</v>
      </c>
      <c r="G123" s="248" t="s">
        <v>375</v>
      </c>
      <c r="H123" s="136">
        <v>56.64</v>
      </c>
      <c r="I123" s="250">
        <f t="shared" si="14"/>
        <v>-1.0309278350515427E-2</v>
      </c>
      <c r="K123" s="248" t="s">
        <v>375</v>
      </c>
      <c r="L123" s="136">
        <v>34.82</v>
      </c>
      <c r="M123" s="250">
        <f t="shared" si="15"/>
        <v>1.074020319303326E-2</v>
      </c>
      <c r="O123" s="248" t="s">
        <v>375</v>
      </c>
      <c r="P123" s="136">
        <v>48.37</v>
      </c>
      <c r="Q123" s="250">
        <f t="shared" si="16"/>
        <v>-1.4064410925397564E-2</v>
      </c>
      <c r="R123" s="251"/>
      <c r="S123" s="248" t="s">
        <v>375</v>
      </c>
      <c r="T123" s="136">
        <v>46.33</v>
      </c>
      <c r="U123" s="250">
        <f t="shared" si="17"/>
        <v>7.1739130434782528E-3</v>
      </c>
      <c r="V123" s="251"/>
      <c r="W123" s="248" t="s">
        <v>375</v>
      </c>
      <c r="X123" s="136">
        <v>66.16</v>
      </c>
      <c r="Y123" s="250">
        <f t="shared" si="18"/>
        <v>8.9980173859998125E-3</v>
      </c>
      <c r="Z123" s="251"/>
      <c r="AA123" s="248" t="s">
        <v>375</v>
      </c>
      <c r="AB123" s="136">
        <v>36.6</v>
      </c>
      <c r="AC123" s="250">
        <f t="shared" si="19"/>
        <v>-3.3535780301029772E-2</v>
      </c>
      <c r="AD123" s="251"/>
      <c r="AE123" s="248" t="s">
        <v>375</v>
      </c>
      <c r="AF123" s="136">
        <v>63.49</v>
      </c>
      <c r="AG123" s="250">
        <f t="shared" si="20"/>
        <v>2.0517676767677351E-3</v>
      </c>
      <c r="AH123" s="251"/>
      <c r="AI123" s="248" t="s">
        <v>375</v>
      </c>
      <c r="AJ123" s="136">
        <v>180.03</v>
      </c>
      <c r="AK123" s="250">
        <f t="shared" si="21"/>
        <v>3.511705685618649E-3</v>
      </c>
      <c r="AL123" s="251"/>
      <c r="AM123" s="248" t="s">
        <v>375</v>
      </c>
      <c r="AN123" s="136">
        <v>43.28</v>
      </c>
      <c r="AO123" s="250">
        <f t="shared" si="22"/>
        <v>2.3158869847150765E-3</v>
      </c>
      <c r="AP123" s="251"/>
      <c r="AQ123" s="248" t="s">
        <v>375</v>
      </c>
      <c r="AR123" s="136">
        <v>213.83</v>
      </c>
      <c r="AS123" s="250">
        <f t="shared" si="23"/>
        <v>8.8934656431383097E-4</v>
      </c>
      <c r="AT123" s="251"/>
      <c r="AU123" s="248" t="s">
        <v>375</v>
      </c>
      <c r="AV123" s="136">
        <v>60.3</v>
      </c>
      <c r="AW123" s="250">
        <f t="shared" si="24"/>
        <v>7.6871657754009615E-3</v>
      </c>
      <c r="AX123" s="251"/>
      <c r="AY123" s="248" t="s">
        <v>375</v>
      </c>
      <c r="AZ123" s="252">
        <v>4441.67</v>
      </c>
      <c r="BA123" s="250">
        <f t="shared" si="25"/>
        <v>-5.8930170098477896E-3</v>
      </c>
    </row>
    <row r="124" spans="3:53" ht="14.25" customHeight="1" x14ac:dyDescent="0.35">
      <c r="C124" s="253">
        <v>44416</v>
      </c>
      <c r="D124" s="249">
        <v>156.52000000000001</v>
      </c>
      <c r="E124" s="250">
        <f t="shared" si="13"/>
        <v>1.4190371282317038E-2</v>
      </c>
      <c r="G124" s="253">
        <v>44416</v>
      </c>
      <c r="H124" s="136">
        <v>57.23</v>
      </c>
      <c r="I124" s="250">
        <f t="shared" si="14"/>
        <v>1.0416666666666519E-2</v>
      </c>
      <c r="K124" s="253">
        <v>44416</v>
      </c>
      <c r="L124" s="136">
        <v>34.450000000000003</v>
      </c>
      <c r="M124" s="250">
        <f t="shared" si="15"/>
        <v>4.6660834062410839E-3</v>
      </c>
      <c r="O124" s="253">
        <v>44416</v>
      </c>
      <c r="P124" s="136">
        <v>49.06</v>
      </c>
      <c r="Q124" s="250">
        <f t="shared" si="16"/>
        <v>1.1963696369637011E-2</v>
      </c>
      <c r="R124" s="251"/>
      <c r="S124" s="253">
        <v>44416</v>
      </c>
      <c r="T124" s="136">
        <v>46</v>
      </c>
      <c r="U124" s="250">
        <f t="shared" si="17"/>
        <v>1.1433597185576128E-2</v>
      </c>
      <c r="V124" s="251"/>
      <c r="W124" s="253">
        <v>44416</v>
      </c>
      <c r="X124" s="136">
        <v>65.569999999999993</v>
      </c>
      <c r="Y124" s="250">
        <f t="shared" si="18"/>
        <v>3.7171781081936084E-2</v>
      </c>
      <c r="Z124" s="251"/>
      <c r="AA124" s="253">
        <v>44416</v>
      </c>
      <c r="AB124" s="136">
        <v>37.869999999999997</v>
      </c>
      <c r="AC124" s="250">
        <f t="shared" si="19"/>
        <v>1.8010752688171872E-2</v>
      </c>
      <c r="AD124" s="251"/>
      <c r="AE124" s="253">
        <v>44416</v>
      </c>
      <c r="AF124" s="136">
        <v>63.36</v>
      </c>
      <c r="AG124" s="250">
        <f t="shared" si="20"/>
        <v>2.5740650801359788E-2</v>
      </c>
      <c r="AH124" s="251"/>
      <c r="AI124" s="253">
        <v>44416</v>
      </c>
      <c r="AJ124" s="136">
        <v>179.4</v>
      </c>
      <c r="AK124" s="250">
        <f t="shared" si="21"/>
        <v>4.5355283050563244E-3</v>
      </c>
      <c r="AL124" s="251"/>
      <c r="AM124" s="253">
        <v>44416</v>
      </c>
      <c r="AN124" s="136">
        <v>43.18</v>
      </c>
      <c r="AO124" s="250">
        <f t="shared" si="22"/>
        <v>2.0803782505910196E-2</v>
      </c>
      <c r="AP124" s="251"/>
      <c r="AQ124" s="253">
        <v>44416</v>
      </c>
      <c r="AR124" s="136">
        <v>213.64</v>
      </c>
      <c r="AS124" s="250">
        <f t="shared" si="23"/>
        <v>-2.3583180987203023E-2</v>
      </c>
      <c r="AT124" s="251"/>
      <c r="AU124" s="253">
        <v>44416</v>
      </c>
      <c r="AV124" s="136">
        <v>59.84</v>
      </c>
      <c r="AW124" s="250">
        <f t="shared" si="24"/>
        <v>3.4041817867634494E-2</v>
      </c>
      <c r="AX124" s="251"/>
      <c r="AY124" s="253">
        <v>44416</v>
      </c>
      <c r="AZ124" s="252">
        <v>4468</v>
      </c>
      <c r="BA124" s="250">
        <f t="shared" si="25"/>
        <v>7.0956515467077708E-3</v>
      </c>
    </row>
    <row r="125" spans="3:53" ht="14.25" customHeight="1" x14ac:dyDescent="0.35">
      <c r="C125" s="253">
        <v>44204</v>
      </c>
      <c r="D125" s="249">
        <v>154.33000000000001</v>
      </c>
      <c r="E125" s="250">
        <f t="shared" si="13"/>
        <v>-1.6693214399490119E-2</v>
      </c>
      <c r="G125" s="253">
        <v>44204</v>
      </c>
      <c r="H125" s="136">
        <v>56.64</v>
      </c>
      <c r="I125" s="250">
        <f t="shared" si="14"/>
        <v>-6.8385060494476901E-3</v>
      </c>
      <c r="K125" s="253">
        <v>44204</v>
      </c>
      <c r="L125" s="136">
        <v>34.29</v>
      </c>
      <c r="M125" s="250">
        <f t="shared" si="15"/>
        <v>-2.6128940641863108E-2</v>
      </c>
      <c r="O125" s="253">
        <v>44204</v>
      </c>
      <c r="P125" s="136">
        <v>48.48</v>
      </c>
      <c r="Q125" s="250">
        <f t="shared" si="16"/>
        <v>2.7989821882951738E-2</v>
      </c>
      <c r="R125" s="251"/>
      <c r="S125" s="253">
        <v>44204</v>
      </c>
      <c r="T125" s="136">
        <v>45.48</v>
      </c>
      <c r="U125" s="250">
        <f t="shared" si="17"/>
        <v>-1.9404915912031195E-2</v>
      </c>
      <c r="V125" s="251"/>
      <c r="W125" s="253">
        <v>44204</v>
      </c>
      <c r="X125" s="136">
        <v>63.22</v>
      </c>
      <c r="Y125" s="250">
        <f t="shared" si="18"/>
        <v>-2.2095959595960224E-3</v>
      </c>
      <c r="Z125" s="251"/>
      <c r="AA125" s="253">
        <v>44204</v>
      </c>
      <c r="AB125" s="136">
        <v>37.200000000000003</v>
      </c>
      <c r="AC125" s="250">
        <f t="shared" si="19"/>
        <v>-3.3012737197816389E-2</v>
      </c>
      <c r="AD125" s="251"/>
      <c r="AE125" s="253">
        <v>44204</v>
      </c>
      <c r="AF125" s="136">
        <v>61.77</v>
      </c>
      <c r="AG125" s="250">
        <f t="shared" si="20"/>
        <v>-2.3553588365475719E-2</v>
      </c>
      <c r="AH125" s="251"/>
      <c r="AI125" s="253">
        <v>44204</v>
      </c>
      <c r="AJ125" s="136">
        <v>178.59</v>
      </c>
      <c r="AK125" s="250">
        <f t="shared" si="21"/>
        <v>-1.6211985688729946E-3</v>
      </c>
      <c r="AL125" s="251"/>
      <c r="AM125" s="253">
        <v>44204</v>
      </c>
      <c r="AN125" s="136">
        <v>42.3</v>
      </c>
      <c r="AO125" s="250">
        <f t="shared" si="22"/>
        <v>-3.2479414455626743E-2</v>
      </c>
      <c r="AP125" s="251"/>
      <c r="AQ125" s="253">
        <v>44204</v>
      </c>
      <c r="AR125" s="136">
        <v>218.8</v>
      </c>
      <c r="AS125" s="250">
        <f t="shared" si="23"/>
        <v>-2.4694659891236426E-2</v>
      </c>
      <c r="AT125" s="251"/>
      <c r="AU125" s="253">
        <v>44204</v>
      </c>
      <c r="AV125" s="136">
        <v>57.87</v>
      </c>
      <c r="AW125" s="250">
        <f t="shared" si="24"/>
        <v>-1.6819571865443472E-2</v>
      </c>
      <c r="AX125" s="251"/>
      <c r="AY125" s="253">
        <v>44204</v>
      </c>
      <c r="AZ125" s="252">
        <v>4436.5200000000004</v>
      </c>
      <c r="BA125" s="250">
        <f t="shared" si="25"/>
        <v>9.3873855016541885E-3</v>
      </c>
    </row>
    <row r="126" spans="3:53" ht="14.25" customHeight="1" x14ac:dyDescent="0.35">
      <c r="C126" s="248" t="s">
        <v>376</v>
      </c>
      <c r="D126" s="249">
        <v>156.94999999999999</v>
      </c>
      <c r="E126" s="250">
        <f t="shared" si="13"/>
        <v>-1.4632904949740677E-3</v>
      </c>
      <c r="G126" s="248" t="s">
        <v>376</v>
      </c>
      <c r="H126" s="136">
        <v>57.03</v>
      </c>
      <c r="I126" s="250">
        <f t="shared" si="14"/>
        <v>3.5081564637784446E-4</v>
      </c>
      <c r="K126" s="248" t="s">
        <v>376</v>
      </c>
      <c r="L126" s="136">
        <v>35.21</v>
      </c>
      <c r="M126" s="250">
        <f t="shared" si="15"/>
        <v>-2.384252841696699E-2</v>
      </c>
      <c r="O126" s="248" t="s">
        <v>376</v>
      </c>
      <c r="P126" s="136">
        <v>47.16</v>
      </c>
      <c r="Q126" s="250">
        <f t="shared" si="16"/>
        <v>-2.0560747663551426E-2</v>
      </c>
      <c r="R126" s="251"/>
      <c r="S126" s="248" t="s">
        <v>376</v>
      </c>
      <c r="T126" s="136">
        <v>46.38</v>
      </c>
      <c r="U126" s="250">
        <f t="shared" si="17"/>
        <v>-2.0278833967046883E-2</v>
      </c>
      <c r="V126" s="251"/>
      <c r="W126" s="248" t="s">
        <v>376</v>
      </c>
      <c r="X126" s="136">
        <v>63.36</v>
      </c>
      <c r="Y126" s="250">
        <f t="shared" si="18"/>
        <v>-1.1035787482264192E-3</v>
      </c>
      <c r="Z126" s="251"/>
      <c r="AA126" s="248" t="s">
        <v>376</v>
      </c>
      <c r="AB126" s="136">
        <v>38.47</v>
      </c>
      <c r="AC126" s="250">
        <f t="shared" si="19"/>
        <v>-1.9122896481387097E-2</v>
      </c>
      <c r="AD126" s="251"/>
      <c r="AE126" s="248" t="s">
        <v>376</v>
      </c>
      <c r="AF126" s="136">
        <v>63.26</v>
      </c>
      <c r="AG126" s="250">
        <f t="shared" si="20"/>
        <v>-2.5119432886423265E-2</v>
      </c>
      <c r="AH126" s="251"/>
      <c r="AI126" s="248" t="s">
        <v>376</v>
      </c>
      <c r="AJ126" s="136">
        <v>178.88</v>
      </c>
      <c r="AK126" s="250">
        <f t="shared" si="21"/>
        <v>-2.1198259511323592E-3</v>
      </c>
      <c r="AL126" s="251"/>
      <c r="AM126" s="248" t="s">
        <v>376</v>
      </c>
      <c r="AN126" s="136">
        <v>43.72</v>
      </c>
      <c r="AO126" s="250">
        <f t="shared" si="22"/>
        <v>-1.9071124074489632E-2</v>
      </c>
      <c r="AP126" s="251"/>
      <c r="AQ126" s="248" t="s">
        <v>376</v>
      </c>
      <c r="AR126" s="136">
        <v>224.34</v>
      </c>
      <c r="AS126" s="250">
        <f t="shared" si="23"/>
        <v>-1.0686615014694478E-3</v>
      </c>
      <c r="AT126" s="251"/>
      <c r="AU126" s="248" t="s">
        <v>376</v>
      </c>
      <c r="AV126" s="136">
        <v>58.86</v>
      </c>
      <c r="AW126" s="250">
        <f t="shared" si="24"/>
        <v>-9.0909090909090384E-3</v>
      </c>
      <c r="AX126" s="251"/>
      <c r="AY126" s="248" t="s">
        <v>376</v>
      </c>
      <c r="AZ126" s="252">
        <v>4395.26</v>
      </c>
      <c r="BA126" s="250">
        <f t="shared" si="25"/>
        <v>-3.7490366743733183E-3</v>
      </c>
    </row>
    <row r="127" spans="3:53" ht="14.25" customHeight="1" x14ac:dyDescent="0.35">
      <c r="C127" s="248" t="s">
        <v>377</v>
      </c>
      <c r="D127" s="249">
        <v>157.18</v>
      </c>
      <c r="E127" s="250">
        <f t="shared" si="13"/>
        <v>8.7280195096908209E-3</v>
      </c>
      <c r="G127" s="248" t="s">
        <v>377</v>
      </c>
      <c r="H127" s="136">
        <v>57.01</v>
      </c>
      <c r="I127" s="250">
        <f t="shared" si="14"/>
        <v>1.0815602836879323E-2</v>
      </c>
      <c r="K127" s="248" t="s">
        <v>377</v>
      </c>
      <c r="L127" s="136">
        <v>36.07</v>
      </c>
      <c r="M127" s="250">
        <f t="shared" si="15"/>
        <v>5.2954292084725907E-3</v>
      </c>
      <c r="O127" s="248" t="s">
        <v>377</v>
      </c>
      <c r="P127" s="136">
        <v>48.15</v>
      </c>
      <c r="Q127" s="250">
        <f t="shared" si="16"/>
        <v>3.4816247582204918E-2</v>
      </c>
      <c r="R127" s="251"/>
      <c r="S127" s="248" t="s">
        <v>377</v>
      </c>
      <c r="T127" s="136">
        <v>47.34</v>
      </c>
      <c r="U127" s="250">
        <f t="shared" si="17"/>
        <v>-1.9266625233063994E-2</v>
      </c>
      <c r="V127" s="251"/>
      <c r="W127" s="248" t="s">
        <v>377</v>
      </c>
      <c r="X127" s="136">
        <v>63.43</v>
      </c>
      <c r="Y127" s="250">
        <f t="shared" si="18"/>
        <v>-1.2916277622160077E-2</v>
      </c>
      <c r="Z127" s="251"/>
      <c r="AA127" s="248" t="s">
        <v>377</v>
      </c>
      <c r="AB127" s="136">
        <v>39.22</v>
      </c>
      <c r="AC127" s="250">
        <f t="shared" si="19"/>
        <v>-2.0356234096691184E-3</v>
      </c>
      <c r="AD127" s="251"/>
      <c r="AE127" s="248" t="s">
        <v>377</v>
      </c>
      <c r="AF127" s="136">
        <v>64.89</v>
      </c>
      <c r="AG127" s="250">
        <f t="shared" si="20"/>
        <v>9.8039215686274161E-3</v>
      </c>
      <c r="AH127" s="251"/>
      <c r="AI127" s="248" t="s">
        <v>377</v>
      </c>
      <c r="AJ127" s="136">
        <v>179.26</v>
      </c>
      <c r="AK127" s="250">
        <f t="shared" si="21"/>
        <v>-4.0557808767154313E-3</v>
      </c>
      <c r="AL127" s="251"/>
      <c r="AM127" s="248" t="s">
        <v>377</v>
      </c>
      <c r="AN127" s="136">
        <v>44.57</v>
      </c>
      <c r="AO127" s="250">
        <f t="shared" si="22"/>
        <v>-2.1084998901823027E-2</v>
      </c>
      <c r="AP127" s="251"/>
      <c r="AQ127" s="248" t="s">
        <v>377</v>
      </c>
      <c r="AR127" s="136">
        <v>224.58</v>
      </c>
      <c r="AS127" s="250">
        <f t="shared" si="23"/>
        <v>2.5445292620867033E-3</v>
      </c>
      <c r="AT127" s="251"/>
      <c r="AU127" s="248" t="s">
        <v>377</v>
      </c>
      <c r="AV127" s="136">
        <v>59.4</v>
      </c>
      <c r="AW127" s="250">
        <f t="shared" si="24"/>
        <v>-1.0824313072439584E-2</v>
      </c>
      <c r="AX127" s="251"/>
      <c r="AY127" s="248" t="s">
        <v>377</v>
      </c>
      <c r="AZ127" s="252">
        <v>4411.8</v>
      </c>
      <c r="BA127" s="250">
        <f t="shared" si="25"/>
        <v>1.9560173416282245E-2</v>
      </c>
    </row>
    <row r="128" spans="3:53" ht="14.25" customHeight="1" x14ac:dyDescent="0.35">
      <c r="C128" s="253">
        <v>44507</v>
      </c>
      <c r="D128" s="249">
        <v>155.82</v>
      </c>
      <c r="E128" s="250">
        <f t="shared" si="13"/>
        <v>4.2413700829542433E-2</v>
      </c>
      <c r="G128" s="253">
        <v>44507</v>
      </c>
      <c r="H128" s="136">
        <v>56.4</v>
      </c>
      <c r="I128" s="250">
        <f t="shared" si="14"/>
        <v>3.5622475211164017E-2</v>
      </c>
      <c r="K128" s="253">
        <v>44507</v>
      </c>
      <c r="L128" s="136">
        <v>35.880000000000003</v>
      </c>
      <c r="M128" s="250">
        <f t="shared" si="15"/>
        <v>2.5142857142857133E-2</v>
      </c>
      <c r="O128" s="253">
        <v>44507</v>
      </c>
      <c r="P128" s="136">
        <v>46.53</v>
      </c>
      <c r="Q128" s="250">
        <f t="shared" si="16"/>
        <v>3.125E-2</v>
      </c>
      <c r="R128" s="251"/>
      <c r="S128" s="253">
        <v>44507</v>
      </c>
      <c r="T128" s="136">
        <v>48.27</v>
      </c>
      <c r="U128" s="250">
        <f t="shared" si="17"/>
        <v>1.749578414839803E-2</v>
      </c>
      <c r="V128" s="251"/>
      <c r="W128" s="253">
        <v>44507</v>
      </c>
      <c r="X128" s="136">
        <v>64.260000000000005</v>
      </c>
      <c r="Y128" s="250">
        <f t="shared" si="18"/>
        <v>-3.1113876789046202E-4</v>
      </c>
      <c r="Z128" s="251"/>
      <c r="AA128" s="253">
        <v>44507</v>
      </c>
      <c r="AB128" s="136">
        <v>39.299999999999997</v>
      </c>
      <c r="AC128" s="250">
        <f t="shared" si="19"/>
        <v>-1.6270337922403177E-2</v>
      </c>
      <c r="AD128" s="251"/>
      <c r="AE128" s="253">
        <v>44507</v>
      </c>
      <c r="AF128" s="136">
        <v>64.260000000000005</v>
      </c>
      <c r="AG128" s="250">
        <f t="shared" si="20"/>
        <v>1.9676293240241227E-2</v>
      </c>
      <c r="AH128" s="251"/>
      <c r="AI128" s="253">
        <v>44507</v>
      </c>
      <c r="AJ128" s="136">
        <v>179.99</v>
      </c>
      <c r="AK128" s="250">
        <f t="shared" si="21"/>
        <v>1.8330975954738316E-2</v>
      </c>
      <c r="AL128" s="251"/>
      <c r="AM128" s="253">
        <v>44507</v>
      </c>
      <c r="AN128" s="136">
        <v>45.53</v>
      </c>
      <c r="AO128" s="250">
        <f t="shared" si="22"/>
        <v>-2.4101665205960021E-3</v>
      </c>
      <c r="AP128" s="251"/>
      <c r="AQ128" s="253">
        <v>44507</v>
      </c>
      <c r="AR128" s="136">
        <v>224.01</v>
      </c>
      <c r="AS128" s="250">
        <f t="shared" si="23"/>
        <v>-1.6162325969519942E-2</v>
      </c>
      <c r="AT128" s="251"/>
      <c r="AU128" s="253">
        <v>44507</v>
      </c>
      <c r="AV128" s="136">
        <v>60.05</v>
      </c>
      <c r="AW128" s="250">
        <f t="shared" si="24"/>
        <v>5.8626465661639759E-3</v>
      </c>
      <c r="AX128" s="251"/>
      <c r="AY128" s="253">
        <v>44507</v>
      </c>
      <c r="AZ128" s="252">
        <v>4327.16</v>
      </c>
      <c r="BA128" s="250">
        <f t="shared" si="25"/>
        <v>-9.7012278152213138E-3</v>
      </c>
    </row>
    <row r="129" spans="3:53" ht="14.25" customHeight="1" x14ac:dyDescent="0.35">
      <c r="C129" s="253">
        <v>44293</v>
      </c>
      <c r="D129" s="249">
        <v>149.47999999999999</v>
      </c>
      <c r="E129" s="250">
        <f t="shared" si="13"/>
        <v>3.8278154590021263E-3</v>
      </c>
      <c r="G129" s="253">
        <v>44293</v>
      </c>
      <c r="H129" s="136">
        <v>54.46</v>
      </c>
      <c r="I129" s="250">
        <f t="shared" si="14"/>
        <v>5.1679586563306845E-3</v>
      </c>
      <c r="K129" s="253">
        <v>44293</v>
      </c>
      <c r="L129" s="136">
        <v>35</v>
      </c>
      <c r="M129" s="250">
        <f t="shared" si="15"/>
        <v>-5.1165434906196294E-3</v>
      </c>
      <c r="O129" s="253">
        <v>44293</v>
      </c>
      <c r="P129" s="136">
        <v>45.12</v>
      </c>
      <c r="Q129" s="250">
        <f t="shared" si="16"/>
        <v>-6.823684789786566E-3</v>
      </c>
      <c r="R129" s="251"/>
      <c r="S129" s="253">
        <v>44293</v>
      </c>
      <c r="T129" s="136">
        <v>47.44</v>
      </c>
      <c r="U129" s="250">
        <f t="shared" si="17"/>
        <v>-6.9081013188194706E-3</v>
      </c>
      <c r="V129" s="251"/>
      <c r="W129" s="253">
        <v>44293</v>
      </c>
      <c r="X129" s="136">
        <v>64.28</v>
      </c>
      <c r="Y129" s="250">
        <f t="shared" si="18"/>
        <v>4.0612308653547036E-3</v>
      </c>
      <c r="Z129" s="251"/>
      <c r="AA129" s="253">
        <v>44293</v>
      </c>
      <c r="AB129" s="136">
        <v>39.950000000000003</v>
      </c>
      <c r="AC129" s="250">
        <f t="shared" si="19"/>
        <v>-1.0648836057454147E-2</v>
      </c>
      <c r="AD129" s="251"/>
      <c r="AE129" s="253">
        <v>44293</v>
      </c>
      <c r="AF129" s="136">
        <v>63.02</v>
      </c>
      <c r="AG129" s="250">
        <f t="shared" si="20"/>
        <v>6.7092651757187927E-3</v>
      </c>
      <c r="AH129" s="251"/>
      <c r="AI129" s="253">
        <v>44293</v>
      </c>
      <c r="AJ129" s="136">
        <v>176.75</v>
      </c>
      <c r="AK129" s="250">
        <f t="shared" si="21"/>
        <v>1.5804597701149392E-2</v>
      </c>
      <c r="AL129" s="251"/>
      <c r="AM129" s="253">
        <v>44293</v>
      </c>
      <c r="AN129" s="136">
        <v>45.64</v>
      </c>
      <c r="AO129" s="250">
        <f t="shared" si="22"/>
        <v>-4.3802014892679875E-4</v>
      </c>
      <c r="AP129" s="251"/>
      <c r="AQ129" s="253">
        <v>44293</v>
      </c>
      <c r="AR129" s="136">
        <v>227.69</v>
      </c>
      <c r="AS129" s="250">
        <f t="shared" si="23"/>
        <v>-1.6117880909169435E-2</v>
      </c>
      <c r="AT129" s="251"/>
      <c r="AU129" s="253">
        <v>44293</v>
      </c>
      <c r="AV129" s="136">
        <v>59.7</v>
      </c>
      <c r="AW129" s="250">
        <f t="shared" si="24"/>
        <v>-8.6350049817335295E-3</v>
      </c>
      <c r="AX129" s="251"/>
      <c r="AY129" s="253">
        <v>44293</v>
      </c>
      <c r="AZ129" s="252">
        <v>4369.55</v>
      </c>
      <c r="BA129" s="250">
        <f t="shared" si="25"/>
        <v>3.954194755005469E-3</v>
      </c>
    </row>
    <row r="130" spans="3:53" ht="14.25" customHeight="1" x14ac:dyDescent="0.35">
      <c r="C130" s="248" t="s">
        <v>378</v>
      </c>
      <c r="D130" s="249">
        <v>148.91</v>
      </c>
      <c r="E130" s="250">
        <f t="shared" si="13"/>
        <v>1.7075336384126727E-2</v>
      </c>
      <c r="G130" s="248" t="s">
        <v>378</v>
      </c>
      <c r="H130" s="136">
        <v>54.18</v>
      </c>
      <c r="I130" s="250">
        <f t="shared" si="14"/>
        <v>-2.5773195876288568E-3</v>
      </c>
      <c r="K130" s="248" t="s">
        <v>378</v>
      </c>
      <c r="L130" s="136">
        <v>35.18</v>
      </c>
      <c r="M130" s="250">
        <f t="shared" si="15"/>
        <v>9.179575444635768E-3</v>
      </c>
      <c r="O130" s="248" t="s">
        <v>378</v>
      </c>
      <c r="P130" s="136">
        <v>45.43</v>
      </c>
      <c r="Q130" s="250">
        <f t="shared" si="16"/>
        <v>-1.3677811550152019E-2</v>
      </c>
      <c r="R130" s="251"/>
      <c r="S130" s="248" t="s">
        <v>378</v>
      </c>
      <c r="T130" s="136">
        <v>47.77</v>
      </c>
      <c r="U130" s="250">
        <f t="shared" si="17"/>
        <v>2.0938023450600696E-4</v>
      </c>
      <c r="V130" s="251"/>
      <c r="W130" s="248" t="s">
        <v>378</v>
      </c>
      <c r="X130" s="136">
        <v>64.02</v>
      </c>
      <c r="Y130" s="250">
        <f t="shared" si="18"/>
        <v>1.4077897700608411E-3</v>
      </c>
      <c r="Z130" s="251"/>
      <c r="AA130" s="248" t="s">
        <v>378</v>
      </c>
      <c r="AB130" s="136">
        <v>40.380000000000003</v>
      </c>
      <c r="AC130" s="250">
        <f t="shared" si="19"/>
        <v>-7.6185795035633719E-3</v>
      </c>
      <c r="AD130" s="251"/>
      <c r="AE130" s="248" t="s">
        <v>378</v>
      </c>
      <c r="AF130" s="136">
        <v>62.6</v>
      </c>
      <c r="AG130" s="250">
        <f t="shared" si="20"/>
        <v>-9.1801202912313862E-3</v>
      </c>
      <c r="AH130" s="251"/>
      <c r="AI130" s="248" t="s">
        <v>378</v>
      </c>
      <c r="AJ130" s="136">
        <v>174</v>
      </c>
      <c r="AK130" s="250">
        <f t="shared" si="21"/>
        <v>-6.3956144358154887E-3</v>
      </c>
      <c r="AL130" s="251"/>
      <c r="AM130" s="248" t="s">
        <v>378</v>
      </c>
      <c r="AN130" s="136">
        <v>45.66</v>
      </c>
      <c r="AO130" s="250">
        <f t="shared" si="22"/>
        <v>-2.1853146853146876E-3</v>
      </c>
      <c r="AP130" s="251"/>
      <c r="AQ130" s="248" t="s">
        <v>378</v>
      </c>
      <c r="AR130" s="136">
        <v>231.42</v>
      </c>
      <c r="AS130" s="250">
        <f t="shared" si="23"/>
        <v>1.2335958005249337E-2</v>
      </c>
      <c r="AT130" s="251"/>
      <c r="AU130" s="248" t="s">
        <v>378</v>
      </c>
      <c r="AV130" s="136">
        <v>60.22</v>
      </c>
      <c r="AW130" s="250">
        <f t="shared" si="24"/>
        <v>9.8943484823075245E-3</v>
      </c>
      <c r="AX130" s="251"/>
      <c r="AY130" s="248" t="s">
        <v>378</v>
      </c>
      <c r="AZ130" s="252">
        <v>4352.34</v>
      </c>
      <c r="BA130" s="250">
        <f t="shared" si="25"/>
        <v>1.6735580629336333E-2</v>
      </c>
    </row>
    <row r="131" spans="3:53" ht="14.25" customHeight="1" x14ac:dyDescent="0.35">
      <c r="C131" s="248" t="s">
        <v>379</v>
      </c>
      <c r="D131" s="249">
        <v>146.41</v>
      </c>
      <c r="E131" s="250">
        <f t="shared" si="13"/>
        <v>6.8078668683813071E-3</v>
      </c>
      <c r="G131" s="248" t="s">
        <v>379</v>
      </c>
      <c r="H131" s="136">
        <v>54.32</v>
      </c>
      <c r="I131" s="250">
        <f t="shared" si="14"/>
        <v>1.0228752092244608E-2</v>
      </c>
      <c r="K131" s="248" t="s">
        <v>379</v>
      </c>
      <c r="L131" s="136">
        <v>34.86</v>
      </c>
      <c r="M131" s="250">
        <f t="shared" si="15"/>
        <v>9.8493626882965035E-3</v>
      </c>
      <c r="O131" s="248" t="s">
        <v>379</v>
      </c>
      <c r="P131" s="136">
        <v>46.06</v>
      </c>
      <c r="Q131" s="250">
        <f t="shared" si="16"/>
        <v>3.9232781168265785E-3</v>
      </c>
      <c r="R131" s="251"/>
      <c r="S131" s="248" t="s">
        <v>379</v>
      </c>
      <c r="T131" s="136">
        <v>47.76</v>
      </c>
      <c r="U131" s="250">
        <f t="shared" si="17"/>
        <v>7.1699704765921801E-3</v>
      </c>
      <c r="V131" s="251"/>
      <c r="W131" s="248" t="s">
        <v>379</v>
      </c>
      <c r="X131" s="136">
        <v>63.93</v>
      </c>
      <c r="Y131" s="250">
        <f t="shared" si="18"/>
        <v>5.3467526340618132E-3</v>
      </c>
      <c r="Z131" s="251"/>
      <c r="AA131" s="248" t="s">
        <v>379</v>
      </c>
      <c r="AB131" s="136">
        <v>40.69</v>
      </c>
      <c r="AC131" s="250">
        <f t="shared" si="19"/>
        <v>4.6913580246912279E-3</v>
      </c>
      <c r="AD131" s="251"/>
      <c r="AE131" s="248" t="s">
        <v>379</v>
      </c>
      <c r="AF131" s="136">
        <v>63.18</v>
      </c>
      <c r="AG131" s="250">
        <f t="shared" si="20"/>
        <v>1.6736401673640211E-2</v>
      </c>
      <c r="AH131" s="251"/>
      <c r="AI131" s="248" t="s">
        <v>379</v>
      </c>
      <c r="AJ131" s="136">
        <v>175.12</v>
      </c>
      <c r="AK131" s="250">
        <f t="shared" si="21"/>
        <v>2.7157018006921163E-2</v>
      </c>
      <c r="AL131" s="251"/>
      <c r="AM131" s="248" t="s">
        <v>379</v>
      </c>
      <c r="AN131" s="136">
        <v>45.76</v>
      </c>
      <c r="AO131" s="250">
        <f t="shared" si="22"/>
        <v>1.0823945217583342E-2</v>
      </c>
      <c r="AP131" s="251"/>
      <c r="AQ131" s="248" t="s">
        <v>379</v>
      </c>
      <c r="AR131" s="136">
        <v>228.6</v>
      </c>
      <c r="AS131" s="250">
        <f t="shared" si="23"/>
        <v>3.3220338983050768E-2</v>
      </c>
      <c r="AT131" s="251"/>
      <c r="AU131" s="248" t="s">
        <v>379</v>
      </c>
      <c r="AV131" s="136">
        <v>59.63</v>
      </c>
      <c r="AW131" s="250">
        <f t="shared" si="24"/>
        <v>-2.1753681392234769E-3</v>
      </c>
      <c r="AX131" s="251"/>
      <c r="AY131" s="248" t="s">
        <v>379</v>
      </c>
      <c r="AZ131" s="252">
        <v>4280.7</v>
      </c>
      <c r="BA131" s="250">
        <f t="shared" si="25"/>
        <v>2.7421425914147646E-2</v>
      </c>
    </row>
    <row r="132" spans="3:53" ht="14.25" customHeight="1" x14ac:dyDescent="0.35">
      <c r="C132" s="248" t="s">
        <v>380</v>
      </c>
      <c r="D132" s="249">
        <v>145.41999999999999</v>
      </c>
      <c r="E132" s="250">
        <f t="shared" si="13"/>
        <v>-1.537003182341401E-2</v>
      </c>
      <c r="G132" s="248" t="s">
        <v>380</v>
      </c>
      <c r="H132" s="136">
        <v>53.77</v>
      </c>
      <c r="I132" s="250">
        <f t="shared" si="14"/>
        <v>-4.2556980056979943E-2</v>
      </c>
      <c r="K132" s="248" t="s">
        <v>380</v>
      </c>
      <c r="L132" s="136">
        <v>34.520000000000003</v>
      </c>
      <c r="M132" s="250">
        <f t="shared" si="15"/>
        <v>-2.0153278455861345E-2</v>
      </c>
      <c r="O132" s="248" t="s">
        <v>380</v>
      </c>
      <c r="P132" s="136">
        <v>45.88</v>
      </c>
      <c r="Q132" s="250">
        <f t="shared" si="16"/>
        <v>-1.8609625668449148E-2</v>
      </c>
      <c r="R132" s="251"/>
      <c r="S132" s="248" t="s">
        <v>380</v>
      </c>
      <c r="T132" s="136">
        <v>47.42</v>
      </c>
      <c r="U132" s="250">
        <f t="shared" si="17"/>
        <v>-2.7880278802787983E-2</v>
      </c>
      <c r="V132" s="251"/>
      <c r="W132" s="248" t="s">
        <v>380</v>
      </c>
      <c r="X132" s="136">
        <v>63.59</v>
      </c>
      <c r="Y132" s="250">
        <f t="shared" si="18"/>
        <v>-2.4094536525475663E-2</v>
      </c>
      <c r="Z132" s="251"/>
      <c r="AA132" s="248" t="s">
        <v>380</v>
      </c>
      <c r="AB132" s="136">
        <v>40.5</v>
      </c>
      <c r="AC132" s="250">
        <f t="shared" si="19"/>
        <v>-6.7250115154306789E-2</v>
      </c>
      <c r="AD132" s="251"/>
      <c r="AE132" s="248" t="s">
        <v>380</v>
      </c>
      <c r="AF132" s="136">
        <v>62.14</v>
      </c>
      <c r="AG132" s="250">
        <f t="shared" si="20"/>
        <v>-2.5713389777359708E-2</v>
      </c>
      <c r="AH132" s="251"/>
      <c r="AI132" s="248" t="s">
        <v>380</v>
      </c>
      <c r="AJ132" s="136">
        <v>170.49</v>
      </c>
      <c r="AK132" s="250">
        <f t="shared" si="21"/>
        <v>-2.4656750572082387E-2</v>
      </c>
      <c r="AL132" s="251"/>
      <c r="AM132" s="248" t="s">
        <v>380</v>
      </c>
      <c r="AN132" s="136">
        <v>45.27</v>
      </c>
      <c r="AO132" s="250">
        <f t="shared" si="22"/>
        <v>-1.8217306441118963E-2</v>
      </c>
      <c r="AP132" s="251"/>
      <c r="AQ132" s="248" t="s">
        <v>380</v>
      </c>
      <c r="AR132" s="136">
        <v>221.25</v>
      </c>
      <c r="AS132" s="250">
        <f t="shared" si="23"/>
        <v>-6.9948295430661167E-2</v>
      </c>
      <c r="AT132" s="251"/>
      <c r="AU132" s="248" t="s">
        <v>380</v>
      </c>
      <c r="AV132" s="136">
        <v>59.76</v>
      </c>
      <c r="AW132" s="250">
        <f t="shared" si="24"/>
        <v>-4.4145873320537543E-2</v>
      </c>
      <c r="AX132" s="251"/>
      <c r="AY132" s="248" t="s">
        <v>380</v>
      </c>
      <c r="AZ132" s="252">
        <v>4166.45</v>
      </c>
      <c r="BA132" s="250">
        <f t="shared" si="25"/>
        <v>-1.9067956227751259E-2</v>
      </c>
    </row>
    <row r="133" spans="3:53" ht="14.25" customHeight="1" x14ac:dyDescent="0.35">
      <c r="C133" s="253">
        <v>44353</v>
      </c>
      <c r="D133" s="249">
        <v>147.69</v>
      </c>
      <c r="E133" s="250">
        <f t="shared" si="13"/>
        <v>-1.0146103896104819E-3</v>
      </c>
      <c r="G133" s="253">
        <v>44353</v>
      </c>
      <c r="H133" s="136">
        <v>56.16</v>
      </c>
      <c r="I133" s="250">
        <f t="shared" si="14"/>
        <v>-1.4224751066856944E-3</v>
      </c>
      <c r="K133" s="253">
        <v>44353</v>
      </c>
      <c r="L133" s="136">
        <v>35.229999999999997</v>
      </c>
      <c r="M133" s="250">
        <f t="shared" si="15"/>
        <v>-4.5516120292603657E-2</v>
      </c>
      <c r="O133" s="253">
        <v>44353</v>
      </c>
      <c r="P133" s="136">
        <v>46.75</v>
      </c>
      <c r="Q133" s="250">
        <f t="shared" si="16"/>
        <v>-1.9710631159572167E-2</v>
      </c>
      <c r="R133" s="251"/>
      <c r="S133" s="253">
        <v>44353</v>
      </c>
      <c r="T133" s="136">
        <v>48.78</v>
      </c>
      <c r="U133" s="250">
        <f t="shared" si="17"/>
        <v>-1.3149908962168722E-2</v>
      </c>
      <c r="V133" s="251"/>
      <c r="W133" s="253">
        <v>44353</v>
      </c>
      <c r="X133" s="136">
        <v>65.16</v>
      </c>
      <c r="Y133" s="250">
        <f t="shared" si="18"/>
        <v>-2.2062134173795545E-2</v>
      </c>
      <c r="Z133" s="251"/>
      <c r="AA133" s="253">
        <v>44353</v>
      </c>
      <c r="AB133" s="136">
        <v>43.42</v>
      </c>
      <c r="AC133" s="250">
        <f t="shared" si="19"/>
        <v>-1.2283894449499511E-2</v>
      </c>
      <c r="AD133" s="251"/>
      <c r="AE133" s="253">
        <v>44353</v>
      </c>
      <c r="AF133" s="136">
        <v>63.78</v>
      </c>
      <c r="AG133" s="250">
        <f t="shared" si="20"/>
        <v>-3.7488284910964786E-3</v>
      </c>
      <c r="AH133" s="251"/>
      <c r="AI133" s="253">
        <v>44353</v>
      </c>
      <c r="AJ133" s="136">
        <v>174.8</v>
      </c>
      <c r="AK133" s="250">
        <f t="shared" si="21"/>
        <v>-5.7175528873643078E-4</v>
      </c>
      <c r="AL133" s="251"/>
      <c r="AM133" s="253">
        <v>44353</v>
      </c>
      <c r="AN133" s="136">
        <v>46.11</v>
      </c>
      <c r="AO133" s="250">
        <f t="shared" si="22"/>
        <v>-7.1859903381642498E-2</v>
      </c>
      <c r="AP133" s="251"/>
      <c r="AQ133" s="253">
        <v>44353</v>
      </c>
      <c r="AR133" s="136">
        <v>237.89</v>
      </c>
      <c r="AS133" s="250">
        <f t="shared" si="23"/>
        <v>-5.6844305120167249E-3</v>
      </c>
      <c r="AT133" s="251"/>
      <c r="AU133" s="253">
        <v>44353</v>
      </c>
      <c r="AV133" s="136">
        <v>62.52</v>
      </c>
      <c r="AW133" s="250">
        <f t="shared" si="24"/>
        <v>-2.3582695611432114E-2</v>
      </c>
      <c r="AX133" s="251"/>
      <c r="AY133" s="253">
        <v>44353</v>
      </c>
      <c r="AZ133" s="252">
        <v>4247.4399999999996</v>
      </c>
      <c r="BA133" s="250">
        <f t="shared" si="25"/>
        <v>4.1490440649754046E-3</v>
      </c>
    </row>
    <row r="134" spans="3:53" ht="14.25" customHeight="1" x14ac:dyDescent="0.35">
      <c r="C134" s="248" t="s">
        <v>381</v>
      </c>
      <c r="D134" s="249">
        <v>147.84</v>
      </c>
      <c r="E134" s="250">
        <f t="shared" si="13"/>
        <v>-6.7594970934159448E-4</v>
      </c>
      <c r="G134" s="248" t="s">
        <v>381</v>
      </c>
      <c r="H134" s="136">
        <v>56.24</v>
      </c>
      <c r="I134" s="250">
        <f t="shared" si="14"/>
        <v>1.7182130584192601E-2</v>
      </c>
      <c r="K134" s="248" t="s">
        <v>381</v>
      </c>
      <c r="L134" s="136">
        <v>36.909999999999997</v>
      </c>
      <c r="M134" s="250">
        <f t="shared" si="15"/>
        <v>-1.3528138528139388E-3</v>
      </c>
      <c r="O134" s="248" t="s">
        <v>381</v>
      </c>
      <c r="P134" s="136">
        <v>47.69</v>
      </c>
      <c r="Q134" s="250">
        <f t="shared" si="16"/>
        <v>1.1882028431996483E-2</v>
      </c>
      <c r="R134" s="251"/>
      <c r="S134" s="248" t="s">
        <v>381</v>
      </c>
      <c r="T134" s="136">
        <v>49.43</v>
      </c>
      <c r="U134" s="250">
        <f t="shared" si="17"/>
        <v>1.8335393489905316E-2</v>
      </c>
      <c r="V134" s="251"/>
      <c r="W134" s="248" t="s">
        <v>381</v>
      </c>
      <c r="X134" s="136">
        <v>66.63</v>
      </c>
      <c r="Y134" s="250">
        <f t="shared" si="18"/>
        <v>1.7407237746220883E-2</v>
      </c>
      <c r="Z134" s="251"/>
      <c r="AA134" s="248" t="s">
        <v>381</v>
      </c>
      <c r="AB134" s="136">
        <v>43.96</v>
      </c>
      <c r="AC134" s="250">
        <f t="shared" si="19"/>
        <v>8.488185363615397E-3</v>
      </c>
      <c r="AD134" s="251"/>
      <c r="AE134" s="248" t="s">
        <v>381</v>
      </c>
      <c r="AF134" s="136">
        <v>64.02</v>
      </c>
      <c r="AG134" s="250">
        <f t="shared" si="20"/>
        <v>7.7128915473003712E-3</v>
      </c>
      <c r="AH134" s="251"/>
      <c r="AI134" s="248" t="s">
        <v>381</v>
      </c>
      <c r="AJ134" s="136">
        <v>174.9</v>
      </c>
      <c r="AK134" s="250">
        <f t="shared" si="21"/>
        <v>1.069055186362311E-2</v>
      </c>
      <c r="AL134" s="251"/>
      <c r="AM134" s="248" t="s">
        <v>381</v>
      </c>
      <c r="AN134" s="136">
        <v>49.68</v>
      </c>
      <c r="AO134" s="250">
        <f t="shared" si="22"/>
        <v>2.0752003287445975E-2</v>
      </c>
      <c r="AP134" s="251"/>
      <c r="AQ134" s="248" t="s">
        <v>381</v>
      </c>
      <c r="AR134" s="136">
        <v>239.25</v>
      </c>
      <c r="AS134" s="250">
        <f t="shared" si="23"/>
        <v>-1.9606207241782414E-3</v>
      </c>
      <c r="AT134" s="251"/>
      <c r="AU134" s="248" t="s">
        <v>381</v>
      </c>
      <c r="AV134" s="136">
        <v>64.03</v>
      </c>
      <c r="AW134" s="250">
        <f t="shared" si="24"/>
        <v>1.8612790327712458E-2</v>
      </c>
      <c r="AX134" s="251"/>
      <c r="AY134" s="248" t="s">
        <v>381</v>
      </c>
      <c r="AZ134" s="252">
        <v>4229.8900000000003</v>
      </c>
      <c r="BA134" s="250">
        <f t="shared" si="25"/>
        <v>6.1320945455758391E-3</v>
      </c>
    </row>
    <row r="135" spans="3:53" ht="14.25" customHeight="1" x14ac:dyDescent="0.35">
      <c r="C135" s="248" t="s">
        <v>382</v>
      </c>
      <c r="D135" s="249">
        <v>147.94</v>
      </c>
      <c r="E135" s="250">
        <f t="shared" si="13"/>
        <v>5.7104010876953826E-3</v>
      </c>
      <c r="G135" s="248" t="s">
        <v>382</v>
      </c>
      <c r="H135" s="136">
        <v>55.29</v>
      </c>
      <c r="I135" s="250">
        <f t="shared" si="14"/>
        <v>1.2266569022336249E-2</v>
      </c>
      <c r="K135" s="248" t="s">
        <v>382</v>
      </c>
      <c r="L135" s="136">
        <v>36.96</v>
      </c>
      <c r="M135" s="250">
        <f t="shared" si="15"/>
        <v>1.9867549668874052E-2</v>
      </c>
      <c r="O135" s="248" t="s">
        <v>382</v>
      </c>
      <c r="P135" s="136">
        <v>47.13</v>
      </c>
      <c r="Q135" s="250">
        <f t="shared" si="16"/>
        <v>2.4342534231688973E-2</v>
      </c>
      <c r="R135" s="251"/>
      <c r="S135" s="248" t="s">
        <v>382</v>
      </c>
      <c r="T135" s="136">
        <v>48.54</v>
      </c>
      <c r="U135" s="250">
        <f t="shared" si="17"/>
        <v>-1.780655605018211E-2</v>
      </c>
      <c r="V135" s="251"/>
      <c r="W135" s="248" t="s">
        <v>382</v>
      </c>
      <c r="X135" s="136">
        <v>65.489999999999995</v>
      </c>
      <c r="Y135" s="250">
        <f t="shared" si="18"/>
        <v>-1.5187969924812084E-2</v>
      </c>
      <c r="Z135" s="251"/>
      <c r="AA135" s="248" t="s">
        <v>382</v>
      </c>
      <c r="AB135" s="136">
        <v>43.59</v>
      </c>
      <c r="AC135" s="250">
        <f t="shared" si="19"/>
        <v>-1.2236573759347391E-2</v>
      </c>
      <c r="AD135" s="251"/>
      <c r="AE135" s="248" t="s">
        <v>382</v>
      </c>
      <c r="AF135" s="136">
        <v>63.53</v>
      </c>
      <c r="AG135" s="250">
        <f t="shared" si="20"/>
        <v>2.6830808080808843E-3</v>
      </c>
      <c r="AH135" s="251"/>
      <c r="AI135" s="248" t="s">
        <v>382</v>
      </c>
      <c r="AJ135" s="136">
        <v>173.05</v>
      </c>
      <c r="AK135" s="250">
        <f t="shared" si="21"/>
        <v>-4.0860957642724349E-3</v>
      </c>
      <c r="AL135" s="251"/>
      <c r="AM135" s="248" t="s">
        <v>382</v>
      </c>
      <c r="AN135" s="136">
        <v>48.67</v>
      </c>
      <c r="AO135" s="250">
        <f t="shared" si="22"/>
        <v>-4.0924902803355367E-3</v>
      </c>
      <c r="AP135" s="251"/>
      <c r="AQ135" s="248" t="s">
        <v>382</v>
      </c>
      <c r="AR135" s="136">
        <v>239.72</v>
      </c>
      <c r="AS135" s="250">
        <f t="shared" si="23"/>
        <v>1.0283209710047148E-2</v>
      </c>
      <c r="AT135" s="251"/>
      <c r="AU135" s="248" t="s">
        <v>382</v>
      </c>
      <c r="AV135" s="136">
        <v>62.86</v>
      </c>
      <c r="AW135" s="250">
        <f t="shared" si="24"/>
        <v>-4.2768889592903481E-3</v>
      </c>
      <c r="AX135" s="251"/>
      <c r="AY135" s="248" t="s">
        <v>382</v>
      </c>
      <c r="AZ135" s="252">
        <v>4204.1099999999997</v>
      </c>
      <c r="BA135" s="250">
        <f t="shared" si="25"/>
        <v>1.1610111986448013E-2</v>
      </c>
    </row>
    <row r="136" spans="3:53" ht="14.25" customHeight="1" x14ac:dyDescent="0.35">
      <c r="C136" s="248" t="s">
        <v>383</v>
      </c>
      <c r="D136" s="249">
        <v>147.1</v>
      </c>
      <c r="E136" s="250">
        <f t="shared" si="13"/>
        <v>3.4790913432021231E-3</v>
      </c>
      <c r="G136" s="248" t="s">
        <v>383</v>
      </c>
      <c r="H136" s="136">
        <v>54.62</v>
      </c>
      <c r="I136" s="250">
        <f t="shared" si="14"/>
        <v>-2.0098666179426683E-3</v>
      </c>
      <c r="K136" s="248" t="s">
        <v>383</v>
      </c>
      <c r="L136" s="136">
        <v>36.24</v>
      </c>
      <c r="M136" s="250">
        <f t="shared" si="15"/>
        <v>5.270457697642339E-3</v>
      </c>
      <c r="O136" s="248" t="s">
        <v>383</v>
      </c>
      <c r="P136" s="136">
        <v>46.01</v>
      </c>
      <c r="Q136" s="250">
        <f t="shared" si="16"/>
        <v>-1.3023659648361274E-3</v>
      </c>
      <c r="R136" s="251"/>
      <c r="S136" s="248" t="s">
        <v>383</v>
      </c>
      <c r="T136" s="136">
        <v>49.42</v>
      </c>
      <c r="U136" s="250">
        <f t="shared" si="17"/>
        <v>6.0970373550880197E-2</v>
      </c>
      <c r="V136" s="251"/>
      <c r="W136" s="248" t="s">
        <v>383</v>
      </c>
      <c r="X136" s="136">
        <v>66.5</v>
      </c>
      <c r="Y136" s="250">
        <f t="shared" si="18"/>
        <v>-6.0114217012330329E-4</v>
      </c>
      <c r="Z136" s="251"/>
      <c r="AA136" s="248" t="s">
        <v>383</v>
      </c>
      <c r="AB136" s="136">
        <v>44.13</v>
      </c>
      <c r="AC136" s="250">
        <f t="shared" si="19"/>
        <v>9.1470386462384479E-3</v>
      </c>
      <c r="AD136" s="251"/>
      <c r="AE136" s="248" t="s">
        <v>383</v>
      </c>
      <c r="AF136" s="136">
        <v>63.36</v>
      </c>
      <c r="AG136" s="250">
        <f t="shared" si="20"/>
        <v>1.5873015873015817E-2</v>
      </c>
      <c r="AH136" s="251"/>
      <c r="AI136" s="248" t="s">
        <v>383</v>
      </c>
      <c r="AJ136" s="136">
        <v>173.76</v>
      </c>
      <c r="AK136" s="250">
        <f t="shared" si="21"/>
        <v>1.5487113552685283E-2</v>
      </c>
      <c r="AL136" s="251"/>
      <c r="AM136" s="248" t="s">
        <v>383</v>
      </c>
      <c r="AN136" s="136">
        <v>48.87</v>
      </c>
      <c r="AO136" s="250">
        <f t="shared" si="22"/>
        <v>-8.1185305459713364E-3</v>
      </c>
      <c r="AP136" s="251"/>
      <c r="AQ136" s="248" t="s">
        <v>383</v>
      </c>
      <c r="AR136" s="136">
        <v>237.28</v>
      </c>
      <c r="AS136" s="250">
        <f t="shared" si="23"/>
        <v>1.2113973724620308E-2</v>
      </c>
      <c r="AT136" s="251"/>
      <c r="AU136" s="248" t="s">
        <v>383</v>
      </c>
      <c r="AV136" s="136">
        <v>63.13</v>
      </c>
      <c r="AW136" s="250">
        <f t="shared" si="24"/>
        <v>-4.258675078864238E-3</v>
      </c>
      <c r="AX136" s="251"/>
      <c r="AY136" s="248" t="s">
        <v>383</v>
      </c>
      <c r="AZ136" s="252">
        <v>4155.8599999999997</v>
      </c>
      <c r="BA136" s="250">
        <f t="shared" si="25"/>
        <v>-4.3101692681818404E-3</v>
      </c>
    </row>
    <row r="137" spans="3:53" ht="14.25" customHeight="1" x14ac:dyDescent="0.35">
      <c r="C137" s="253">
        <v>44444</v>
      </c>
      <c r="D137" s="249">
        <v>146.59</v>
      </c>
      <c r="E137" s="250">
        <f t="shared" si="13"/>
        <v>7.0761198131354952E-3</v>
      </c>
      <c r="G137" s="253">
        <v>44444</v>
      </c>
      <c r="H137" s="136">
        <v>54.73</v>
      </c>
      <c r="I137" s="250">
        <f t="shared" si="14"/>
        <v>4.0359567051917455E-3</v>
      </c>
      <c r="K137" s="253">
        <v>44444</v>
      </c>
      <c r="L137" s="136">
        <v>36.049999999999997</v>
      </c>
      <c r="M137" s="250">
        <f t="shared" si="15"/>
        <v>-1.5027322404371657E-2</v>
      </c>
      <c r="O137" s="253">
        <v>44444</v>
      </c>
      <c r="P137" s="136">
        <v>46.07</v>
      </c>
      <c r="Q137" s="250">
        <f t="shared" si="16"/>
        <v>9.8640946953092445E-3</v>
      </c>
      <c r="R137" s="251"/>
      <c r="S137" s="253">
        <v>44444</v>
      </c>
      <c r="T137" s="136">
        <v>46.58</v>
      </c>
      <c r="U137" s="250">
        <f t="shared" si="17"/>
        <v>-1.1879507848960635E-2</v>
      </c>
      <c r="V137" s="251"/>
      <c r="W137" s="253">
        <v>44444</v>
      </c>
      <c r="X137" s="136">
        <v>66.540000000000006</v>
      </c>
      <c r="Y137" s="250">
        <f t="shared" si="18"/>
        <v>-6.1239731142643805E-3</v>
      </c>
      <c r="Z137" s="251"/>
      <c r="AA137" s="253">
        <v>44444</v>
      </c>
      <c r="AB137" s="136">
        <v>43.73</v>
      </c>
      <c r="AC137" s="250">
        <f t="shared" si="19"/>
        <v>5.7497700091997395E-3</v>
      </c>
      <c r="AD137" s="251"/>
      <c r="AE137" s="253">
        <v>44444</v>
      </c>
      <c r="AF137" s="136">
        <v>62.37</v>
      </c>
      <c r="AG137" s="250">
        <f t="shared" si="20"/>
        <v>8.4074373484235299E-3</v>
      </c>
      <c r="AH137" s="251"/>
      <c r="AI137" s="253">
        <v>44444</v>
      </c>
      <c r="AJ137" s="136">
        <v>171.11</v>
      </c>
      <c r="AK137" s="250">
        <f t="shared" si="21"/>
        <v>1.5549884266128577E-2</v>
      </c>
      <c r="AL137" s="251"/>
      <c r="AM137" s="253">
        <v>44444</v>
      </c>
      <c r="AN137" s="136">
        <v>49.27</v>
      </c>
      <c r="AO137" s="250">
        <f t="shared" si="22"/>
        <v>-5.6508577194751552E-3</v>
      </c>
      <c r="AP137" s="251"/>
      <c r="AQ137" s="253">
        <v>44444</v>
      </c>
      <c r="AR137" s="136">
        <v>234.44</v>
      </c>
      <c r="AS137" s="250">
        <f t="shared" si="23"/>
        <v>-2.6896895234932772E-2</v>
      </c>
      <c r="AT137" s="251"/>
      <c r="AU137" s="253">
        <v>44444</v>
      </c>
      <c r="AV137" s="136">
        <v>63.4</v>
      </c>
      <c r="AW137" s="250">
        <f t="shared" si="24"/>
        <v>5.5511498810467685E-3</v>
      </c>
      <c r="AX137" s="251"/>
      <c r="AY137" s="253">
        <v>44444</v>
      </c>
      <c r="AZ137" s="252">
        <v>4173.8500000000004</v>
      </c>
      <c r="BA137" s="250">
        <f t="shared" si="25"/>
        <v>-1.388035722723624E-2</v>
      </c>
    </row>
    <row r="138" spans="3:53" ht="14.25" customHeight="1" x14ac:dyDescent="0.35">
      <c r="C138" s="253">
        <v>44232</v>
      </c>
      <c r="D138" s="249">
        <v>145.56</v>
      </c>
      <c r="E138" s="250">
        <f t="shared" si="13"/>
        <v>9.7114317425084362E-3</v>
      </c>
      <c r="G138" s="253">
        <v>44232</v>
      </c>
      <c r="H138" s="136">
        <v>54.51</v>
      </c>
      <c r="I138" s="250">
        <f t="shared" si="14"/>
        <v>9.8184512782513167E-3</v>
      </c>
      <c r="K138" s="253">
        <v>44232</v>
      </c>
      <c r="L138" s="136">
        <v>36.6</v>
      </c>
      <c r="M138" s="250">
        <f t="shared" si="15"/>
        <v>2.0920502092050208E-2</v>
      </c>
      <c r="O138" s="253">
        <v>44232</v>
      </c>
      <c r="P138" s="136">
        <v>45.62</v>
      </c>
      <c r="Q138" s="250">
        <f t="shared" si="16"/>
        <v>-5.9769167353668662E-2</v>
      </c>
      <c r="R138" s="251"/>
      <c r="S138" s="253">
        <v>44232</v>
      </c>
      <c r="T138" s="136">
        <v>47.14</v>
      </c>
      <c r="U138" s="250">
        <f t="shared" si="17"/>
        <v>2.0346320346320335E-2</v>
      </c>
      <c r="V138" s="251"/>
      <c r="W138" s="253">
        <v>44232</v>
      </c>
      <c r="X138" s="136">
        <v>66.95</v>
      </c>
      <c r="Y138" s="250">
        <f t="shared" si="18"/>
        <v>7.2572893303428421E-2</v>
      </c>
      <c r="Z138" s="251"/>
      <c r="AA138" s="253">
        <v>44232</v>
      </c>
      <c r="AB138" s="136">
        <v>43.48</v>
      </c>
      <c r="AC138" s="250">
        <f t="shared" si="19"/>
        <v>5.3039476870913038E-2</v>
      </c>
      <c r="AD138" s="251"/>
      <c r="AE138" s="253">
        <v>44232</v>
      </c>
      <c r="AF138" s="136">
        <v>61.85</v>
      </c>
      <c r="AG138" s="250">
        <f t="shared" si="20"/>
        <v>1.710245025489221E-2</v>
      </c>
      <c r="AH138" s="251"/>
      <c r="AI138" s="253">
        <v>44232</v>
      </c>
      <c r="AJ138" s="136">
        <v>168.49</v>
      </c>
      <c r="AK138" s="250">
        <f t="shared" si="21"/>
        <v>2.5502130249543509E-2</v>
      </c>
      <c r="AL138" s="251"/>
      <c r="AM138" s="253">
        <v>44232</v>
      </c>
      <c r="AN138" s="136">
        <v>49.55</v>
      </c>
      <c r="AO138" s="250">
        <f t="shared" si="22"/>
        <v>3.7696335078533982E-2</v>
      </c>
      <c r="AP138" s="251"/>
      <c r="AQ138" s="253">
        <v>44232</v>
      </c>
      <c r="AR138" s="136">
        <v>240.92</v>
      </c>
      <c r="AS138" s="250">
        <f t="shared" si="23"/>
        <v>2.4966711051930268E-3</v>
      </c>
      <c r="AT138" s="251"/>
      <c r="AU138" s="253">
        <v>44232</v>
      </c>
      <c r="AV138" s="136">
        <v>63.05</v>
      </c>
      <c r="AW138" s="250">
        <f t="shared" si="24"/>
        <v>3.5984226092671712E-2</v>
      </c>
      <c r="AX138" s="251"/>
      <c r="AY138" s="253">
        <v>44232</v>
      </c>
      <c r="AZ138" s="252">
        <v>4232.6000000000004</v>
      </c>
      <c r="BA138" s="250">
        <f t="shared" si="25"/>
        <v>1.2300384820516763E-2</v>
      </c>
    </row>
    <row r="139" spans="3:53" ht="14.25" customHeight="1" x14ac:dyDescent="0.35">
      <c r="C139" s="248" t="s">
        <v>384</v>
      </c>
      <c r="D139" s="249">
        <v>144.16</v>
      </c>
      <c r="E139" s="250">
        <f t="shared" si="13"/>
        <v>-1.1451690324350339E-2</v>
      </c>
      <c r="G139" s="248" t="s">
        <v>384</v>
      </c>
      <c r="H139" s="136">
        <v>53.98</v>
      </c>
      <c r="I139" s="250">
        <f t="shared" si="14"/>
        <v>-8.9957774921975986E-3</v>
      </c>
      <c r="K139" s="248" t="s">
        <v>384</v>
      </c>
      <c r="L139" s="136">
        <v>35.85</v>
      </c>
      <c r="M139" s="250">
        <f t="shared" si="15"/>
        <v>-9.121061359867233E-3</v>
      </c>
      <c r="O139" s="248" t="s">
        <v>384</v>
      </c>
      <c r="P139" s="136">
        <v>48.52</v>
      </c>
      <c r="Q139" s="250">
        <f t="shared" si="16"/>
        <v>-1.6619375760032473E-2</v>
      </c>
      <c r="R139" s="251"/>
      <c r="S139" s="248" t="s">
        <v>384</v>
      </c>
      <c r="T139" s="136">
        <v>46.2</v>
      </c>
      <c r="U139" s="250">
        <f t="shared" si="17"/>
        <v>-4.0957102823884206E-3</v>
      </c>
      <c r="V139" s="251"/>
      <c r="W139" s="248" t="s">
        <v>384</v>
      </c>
      <c r="X139" s="136">
        <v>62.42</v>
      </c>
      <c r="Y139" s="250">
        <f t="shared" si="18"/>
        <v>-1.359039190897593E-2</v>
      </c>
      <c r="Z139" s="251"/>
      <c r="AA139" s="248" t="s">
        <v>384</v>
      </c>
      <c r="AB139" s="136">
        <v>41.29</v>
      </c>
      <c r="AC139" s="250">
        <f t="shared" si="19"/>
        <v>2.1776787923781349E-2</v>
      </c>
      <c r="AD139" s="251"/>
      <c r="AE139" s="248" t="s">
        <v>384</v>
      </c>
      <c r="AF139" s="136">
        <v>60.81</v>
      </c>
      <c r="AG139" s="250">
        <f t="shared" si="20"/>
        <v>2.1845068055789119E-2</v>
      </c>
      <c r="AH139" s="251"/>
      <c r="AI139" s="248" t="s">
        <v>384</v>
      </c>
      <c r="AJ139" s="136">
        <v>164.3</v>
      </c>
      <c r="AK139" s="250">
        <f t="shared" si="21"/>
        <v>1.7778603729170506E-2</v>
      </c>
      <c r="AL139" s="251"/>
      <c r="AM139" s="248" t="s">
        <v>384</v>
      </c>
      <c r="AN139" s="136">
        <v>47.75</v>
      </c>
      <c r="AO139" s="250">
        <f t="shared" si="22"/>
        <v>-2.0914496616772693E-2</v>
      </c>
      <c r="AP139" s="251"/>
      <c r="AQ139" s="248" t="s">
        <v>384</v>
      </c>
      <c r="AR139" s="136">
        <v>240.32</v>
      </c>
      <c r="AS139" s="250">
        <f t="shared" si="23"/>
        <v>-1.0807215894921285E-3</v>
      </c>
      <c r="AT139" s="251"/>
      <c r="AU139" s="248" t="s">
        <v>384</v>
      </c>
      <c r="AV139" s="136">
        <v>60.86</v>
      </c>
      <c r="AW139" s="250">
        <f t="shared" si="24"/>
        <v>-6.5295461965393375E-3</v>
      </c>
      <c r="AX139" s="251"/>
      <c r="AY139" s="248" t="s">
        <v>384</v>
      </c>
      <c r="AZ139" s="252">
        <v>4181.17</v>
      </c>
      <c r="BA139" s="250">
        <f t="shared" si="25"/>
        <v>2.3922472052562149E-4</v>
      </c>
    </row>
    <row r="140" spans="3:53" ht="14.25" customHeight="1" x14ac:dyDescent="0.35">
      <c r="C140" s="248" t="s">
        <v>385</v>
      </c>
      <c r="D140" s="249">
        <v>145.83000000000001</v>
      </c>
      <c r="E140" s="250">
        <f t="shared" si="13"/>
        <v>1.1584350721420833E-2</v>
      </c>
      <c r="G140" s="248" t="s">
        <v>385</v>
      </c>
      <c r="H140" s="136">
        <v>54.47</v>
      </c>
      <c r="I140" s="250">
        <f t="shared" si="14"/>
        <v>1.4716840536512565E-2</v>
      </c>
      <c r="K140" s="248" t="s">
        <v>385</v>
      </c>
      <c r="L140" s="136">
        <v>36.18</v>
      </c>
      <c r="M140" s="250">
        <f t="shared" si="15"/>
        <v>4.7209108580950065E-3</v>
      </c>
      <c r="O140" s="248" t="s">
        <v>385</v>
      </c>
      <c r="P140" s="136">
        <v>49.34</v>
      </c>
      <c r="Q140" s="250">
        <f t="shared" si="16"/>
        <v>5.0926869016092446E-3</v>
      </c>
      <c r="R140" s="251"/>
      <c r="S140" s="248" t="s">
        <v>385</v>
      </c>
      <c r="T140" s="136">
        <v>46.39</v>
      </c>
      <c r="U140" s="250">
        <f t="shared" si="17"/>
        <v>-9.6071733561059469E-3</v>
      </c>
      <c r="V140" s="251"/>
      <c r="W140" s="248" t="s">
        <v>385</v>
      </c>
      <c r="X140" s="136">
        <v>63.28</v>
      </c>
      <c r="Y140" s="250">
        <f t="shared" si="18"/>
        <v>-1.1049723756906271E-3</v>
      </c>
      <c r="Z140" s="251"/>
      <c r="AA140" s="248" t="s">
        <v>385</v>
      </c>
      <c r="AB140" s="136">
        <v>40.409999999999997</v>
      </c>
      <c r="AC140" s="250">
        <f t="shared" si="19"/>
        <v>-1.4390243902439148E-2</v>
      </c>
      <c r="AD140" s="251"/>
      <c r="AE140" s="248" t="s">
        <v>385</v>
      </c>
      <c r="AF140" s="136">
        <v>59.51</v>
      </c>
      <c r="AG140" s="250">
        <f t="shared" si="20"/>
        <v>1.2591458226986374E-2</v>
      </c>
      <c r="AH140" s="251"/>
      <c r="AI140" s="248" t="s">
        <v>385</v>
      </c>
      <c r="AJ140" s="136">
        <v>161.43</v>
      </c>
      <c r="AK140" s="250">
        <f t="shared" si="21"/>
        <v>2.7330890117398532E-3</v>
      </c>
      <c r="AL140" s="251"/>
      <c r="AM140" s="248" t="s">
        <v>385</v>
      </c>
      <c r="AN140" s="136">
        <v>48.77</v>
      </c>
      <c r="AO140" s="250">
        <f t="shared" si="22"/>
        <v>-1.2753036437246901E-2</v>
      </c>
      <c r="AP140" s="251"/>
      <c r="AQ140" s="248" t="s">
        <v>385</v>
      </c>
      <c r="AR140" s="136">
        <v>240.58</v>
      </c>
      <c r="AS140" s="250">
        <f t="shared" si="23"/>
        <v>7.2008708029809299E-3</v>
      </c>
      <c r="AT140" s="251"/>
      <c r="AU140" s="248" t="s">
        <v>385</v>
      </c>
      <c r="AV140" s="136">
        <v>61.26</v>
      </c>
      <c r="AW140" s="250">
        <f t="shared" si="24"/>
        <v>-6.5252854812392069E-4</v>
      </c>
      <c r="AX140" s="251"/>
      <c r="AY140" s="248" t="s">
        <v>385</v>
      </c>
      <c r="AZ140" s="252">
        <v>4180.17</v>
      </c>
      <c r="BA140" s="250">
        <f t="shared" si="25"/>
        <v>-1.266285506765108E-3</v>
      </c>
    </row>
    <row r="141" spans="3:53" ht="14.25" customHeight="1" x14ac:dyDescent="0.35">
      <c r="C141" s="253">
        <v>44504</v>
      </c>
      <c r="D141" s="249">
        <v>144.16</v>
      </c>
      <c r="E141" s="250">
        <f t="shared" si="13"/>
        <v>1.1152416356877248E-2</v>
      </c>
      <c r="G141" s="253">
        <v>44504</v>
      </c>
      <c r="H141" s="136">
        <v>53.68</v>
      </c>
      <c r="I141" s="250">
        <f t="shared" si="14"/>
        <v>9.4020308386610907E-3</v>
      </c>
      <c r="K141" s="253">
        <v>44504</v>
      </c>
      <c r="L141" s="136">
        <v>36.01</v>
      </c>
      <c r="M141" s="250">
        <f t="shared" si="15"/>
        <v>2.3883992038669311E-2</v>
      </c>
      <c r="O141" s="253">
        <v>44504</v>
      </c>
      <c r="P141" s="136">
        <v>49.09</v>
      </c>
      <c r="Q141" s="250">
        <f t="shared" si="16"/>
        <v>3.0220356768100753E-2</v>
      </c>
      <c r="R141" s="251"/>
      <c r="S141" s="253">
        <v>44504</v>
      </c>
      <c r="T141" s="136">
        <v>46.84</v>
      </c>
      <c r="U141" s="250">
        <f t="shared" si="17"/>
        <v>1.0571736785329078E-2</v>
      </c>
      <c r="V141" s="251"/>
      <c r="W141" s="253">
        <v>44504</v>
      </c>
      <c r="X141" s="136">
        <v>63.35</v>
      </c>
      <c r="Y141" s="250">
        <f t="shared" si="18"/>
        <v>1.1011809766996672E-2</v>
      </c>
      <c r="Z141" s="251"/>
      <c r="AA141" s="253">
        <v>44504</v>
      </c>
      <c r="AB141" s="136">
        <v>41</v>
      </c>
      <c r="AC141" s="250">
        <f t="shared" si="19"/>
        <v>2.1425012456402603E-2</v>
      </c>
      <c r="AD141" s="251"/>
      <c r="AE141" s="253">
        <v>44504</v>
      </c>
      <c r="AF141" s="136">
        <v>58.77</v>
      </c>
      <c r="AG141" s="250">
        <f t="shared" si="20"/>
        <v>-1.3593882752761521E-3</v>
      </c>
      <c r="AH141" s="251"/>
      <c r="AI141" s="253">
        <v>44504</v>
      </c>
      <c r="AJ141" s="136">
        <v>160.99</v>
      </c>
      <c r="AK141" s="250">
        <f t="shared" si="21"/>
        <v>9.3416927899687696E-3</v>
      </c>
      <c r="AL141" s="251"/>
      <c r="AM141" s="253">
        <v>44504</v>
      </c>
      <c r="AN141" s="136">
        <v>49.4</v>
      </c>
      <c r="AO141" s="250">
        <f t="shared" si="22"/>
        <v>2.7667984189723382E-2</v>
      </c>
      <c r="AP141" s="251"/>
      <c r="AQ141" s="253">
        <v>44504</v>
      </c>
      <c r="AR141" s="136">
        <v>238.86</v>
      </c>
      <c r="AS141" s="250">
        <f t="shared" si="23"/>
        <v>6.562569707784971E-2</v>
      </c>
      <c r="AT141" s="251"/>
      <c r="AU141" s="253">
        <v>44504</v>
      </c>
      <c r="AV141" s="136">
        <v>61.3</v>
      </c>
      <c r="AW141" s="250">
        <f t="shared" si="24"/>
        <v>1.9457841343755167E-2</v>
      </c>
      <c r="AX141" s="251"/>
      <c r="AY141" s="253">
        <v>44504</v>
      </c>
      <c r="AZ141" s="252">
        <v>4185.47</v>
      </c>
      <c r="BA141" s="250">
        <f t="shared" si="25"/>
        <v>1.3725537686494871E-2</v>
      </c>
    </row>
    <row r="142" spans="3:53" ht="14.25" customHeight="1" x14ac:dyDescent="0.35">
      <c r="C142" s="253">
        <v>44290</v>
      </c>
      <c r="D142" s="249">
        <v>142.57</v>
      </c>
      <c r="E142" s="250">
        <f t="shared" si="13"/>
        <v>9.1308040770101684E-3</v>
      </c>
      <c r="G142" s="253">
        <v>44290</v>
      </c>
      <c r="H142" s="136">
        <v>53.18</v>
      </c>
      <c r="I142" s="250">
        <f t="shared" si="14"/>
        <v>1.2759474385831249E-2</v>
      </c>
      <c r="K142" s="253">
        <v>44290</v>
      </c>
      <c r="L142" s="136">
        <v>35.17</v>
      </c>
      <c r="M142" s="250">
        <f t="shared" si="15"/>
        <v>1.9420289855072603E-2</v>
      </c>
      <c r="O142" s="253">
        <v>44290</v>
      </c>
      <c r="P142" s="136">
        <v>47.65</v>
      </c>
      <c r="Q142" s="250">
        <f t="shared" si="16"/>
        <v>4.3126094570928197E-2</v>
      </c>
      <c r="R142" s="251"/>
      <c r="S142" s="253">
        <v>44290</v>
      </c>
      <c r="T142" s="136">
        <v>46.35</v>
      </c>
      <c r="U142" s="250">
        <f t="shared" si="17"/>
        <v>-2.626050420168069E-2</v>
      </c>
      <c r="V142" s="251"/>
      <c r="W142" s="253">
        <v>44290</v>
      </c>
      <c r="X142" s="136">
        <v>62.66</v>
      </c>
      <c r="Y142" s="250">
        <f t="shared" si="18"/>
        <v>-1.0735712030312761E-2</v>
      </c>
      <c r="Z142" s="251"/>
      <c r="AA142" s="253">
        <v>44290</v>
      </c>
      <c r="AB142" s="136">
        <v>40.14</v>
      </c>
      <c r="AC142" s="250">
        <f t="shared" si="19"/>
        <v>2.747939045715686E-3</v>
      </c>
      <c r="AD142" s="251"/>
      <c r="AE142" s="253">
        <v>44290</v>
      </c>
      <c r="AF142" s="136">
        <v>58.85</v>
      </c>
      <c r="AG142" s="250">
        <f t="shared" si="20"/>
        <v>7.0157426420260904E-3</v>
      </c>
      <c r="AH142" s="251"/>
      <c r="AI142" s="253">
        <v>44290</v>
      </c>
      <c r="AJ142" s="136">
        <v>159.5</v>
      </c>
      <c r="AK142" s="250">
        <f t="shared" si="21"/>
        <v>4.6611237087428314E-3</v>
      </c>
      <c r="AL142" s="251"/>
      <c r="AM142" s="253">
        <v>44290</v>
      </c>
      <c r="AN142" s="136">
        <v>48.07</v>
      </c>
      <c r="AO142" s="250">
        <f t="shared" si="22"/>
        <v>-3.802281368821292E-2</v>
      </c>
      <c r="AP142" s="251"/>
      <c r="AQ142" s="253">
        <v>44290</v>
      </c>
      <c r="AR142" s="136">
        <v>224.15</v>
      </c>
      <c r="AS142" s="250">
        <f t="shared" si="23"/>
        <v>-2.3821966727636923E-2</v>
      </c>
      <c r="AT142" s="251"/>
      <c r="AU142" s="253">
        <v>44290</v>
      </c>
      <c r="AV142" s="136">
        <v>60.13</v>
      </c>
      <c r="AW142" s="250">
        <f t="shared" si="24"/>
        <v>-1.2967826657911963E-2</v>
      </c>
      <c r="AX142" s="251"/>
      <c r="AY142" s="253">
        <v>44290</v>
      </c>
      <c r="AZ142" s="252">
        <v>4128.8</v>
      </c>
      <c r="BA142" s="250">
        <f t="shared" si="25"/>
        <v>2.7097891225338122E-2</v>
      </c>
    </row>
    <row r="143" spans="3:53" ht="14.25" customHeight="1" x14ac:dyDescent="0.35">
      <c r="C143" s="248" t="s">
        <v>386</v>
      </c>
      <c r="D143" s="249">
        <v>141.28</v>
      </c>
      <c r="E143" s="250">
        <f t="shared" si="13"/>
        <v>-9.9509460406446149E-3</v>
      </c>
      <c r="G143" s="248" t="s">
        <v>386</v>
      </c>
      <c r="H143" s="136">
        <v>52.51</v>
      </c>
      <c r="I143" s="250">
        <f t="shared" si="14"/>
        <v>-9.9924585218703621E-3</v>
      </c>
      <c r="K143" s="248" t="s">
        <v>386</v>
      </c>
      <c r="L143" s="136">
        <v>34.5</v>
      </c>
      <c r="M143" s="250">
        <f t="shared" si="15"/>
        <v>-2.0998864926220273E-2</v>
      </c>
      <c r="O143" s="248" t="s">
        <v>386</v>
      </c>
      <c r="P143" s="136">
        <v>45.68</v>
      </c>
      <c r="Q143" s="250">
        <f t="shared" si="16"/>
        <v>-3.2729653065677322E-3</v>
      </c>
      <c r="R143" s="251"/>
      <c r="S143" s="248" t="s">
        <v>386</v>
      </c>
      <c r="T143" s="136">
        <v>47.6</v>
      </c>
      <c r="U143" s="250">
        <f t="shared" si="17"/>
        <v>-6.4704654560633346E-3</v>
      </c>
      <c r="V143" s="251"/>
      <c r="W143" s="248" t="s">
        <v>386</v>
      </c>
      <c r="X143" s="136">
        <v>63.34</v>
      </c>
      <c r="Y143" s="250">
        <f t="shared" si="18"/>
        <v>-5.8075655313136743E-3</v>
      </c>
      <c r="Z143" s="251"/>
      <c r="AA143" s="248" t="s">
        <v>386</v>
      </c>
      <c r="AB143" s="136">
        <v>40.03</v>
      </c>
      <c r="AC143" s="250">
        <f t="shared" si="19"/>
        <v>0</v>
      </c>
      <c r="AD143" s="251"/>
      <c r="AE143" s="248" t="s">
        <v>386</v>
      </c>
      <c r="AF143" s="136">
        <v>58.44</v>
      </c>
      <c r="AG143" s="250">
        <f t="shared" si="20"/>
        <v>-1.6823687752355321E-2</v>
      </c>
      <c r="AH143" s="251"/>
      <c r="AI143" s="248" t="s">
        <v>386</v>
      </c>
      <c r="AJ143" s="136">
        <v>158.76</v>
      </c>
      <c r="AK143" s="250">
        <f t="shared" si="21"/>
        <v>-3.2021096251649839E-3</v>
      </c>
      <c r="AL143" s="251"/>
      <c r="AM143" s="248" t="s">
        <v>386</v>
      </c>
      <c r="AN143" s="136">
        <v>49.97</v>
      </c>
      <c r="AO143" s="250">
        <f t="shared" si="22"/>
        <v>-1.7692156477295051E-2</v>
      </c>
      <c r="AP143" s="251"/>
      <c r="AQ143" s="248" t="s">
        <v>386</v>
      </c>
      <c r="AR143" s="136">
        <v>229.62</v>
      </c>
      <c r="AS143" s="250">
        <f t="shared" si="23"/>
        <v>-2.4180867791424032E-2</v>
      </c>
      <c r="AT143" s="251"/>
      <c r="AU143" s="248" t="s">
        <v>386</v>
      </c>
      <c r="AV143" s="136">
        <v>60.92</v>
      </c>
      <c r="AW143" s="250">
        <f t="shared" si="24"/>
        <v>-8.2007544694107093E-4</v>
      </c>
      <c r="AX143" s="251"/>
      <c r="AY143" s="248" t="s">
        <v>386</v>
      </c>
      <c r="AZ143" s="252">
        <v>4019.87</v>
      </c>
      <c r="BA143" s="250">
        <f t="shared" si="25"/>
        <v>1.140509341961593E-2</v>
      </c>
    </row>
    <row r="144" spans="3:53" ht="14.25" customHeight="1" x14ac:dyDescent="0.35">
      <c r="C144" s="248" t="s">
        <v>387</v>
      </c>
      <c r="D144" s="249">
        <v>142.69999999999999</v>
      </c>
      <c r="E144" s="250">
        <f t="shared" si="13"/>
        <v>6.0966542750929387E-2</v>
      </c>
      <c r="G144" s="248" t="s">
        <v>387</v>
      </c>
      <c r="H144" s="136">
        <v>53.04</v>
      </c>
      <c r="I144" s="250">
        <f t="shared" si="14"/>
        <v>4.3888998228695186E-2</v>
      </c>
      <c r="K144" s="248" t="s">
        <v>387</v>
      </c>
      <c r="L144" s="136">
        <v>35.24</v>
      </c>
      <c r="M144" s="250">
        <f t="shared" si="15"/>
        <v>3.2220269478617558E-2</v>
      </c>
      <c r="O144" s="248" t="s">
        <v>387</v>
      </c>
      <c r="P144" s="136">
        <v>45.83</v>
      </c>
      <c r="Q144" s="250">
        <f t="shared" si="16"/>
        <v>4.2538671519563254E-2</v>
      </c>
      <c r="R144" s="251"/>
      <c r="S144" s="248" t="s">
        <v>387</v>
      </c>
      <c r="T144" s="136">
        <v>47.91</v>
      </c>
      <c r="U144" s="250">
        <f t="shared" si="17"/>
        <v>-1.2507817385866149E-3</v>
      </c>
      <c r="V144" s="251"/>
      <c r="W144" s="248" t="s">
        <v>387</v>
      </c>
      <c r="X144" s="136">
        <v>63.71</v>
      </c>
      <c r="Y144" s="250">
        <f t="shared" si="18"/>
        <v>4.7689524749218837E-2</v>
      </c>
      <c r="Z144" s="251"/>
      <c r="AA144" s="248" t="s">
        <v>387</v>
      </c>
      <c r="AB144" s="136">
        <v>40.03</v>
      </c>
      <c r="AC144" s="250">
        <f t="shared" si="19"/>
        <v>2.2738886050076568E-2</v>
      </c>
      <c r="AD144" s="251"/>
      <c r="AE144" s="248" t="s">
        <v>387</v>
      </c>
      <c r="AF144" s="136">
        <v>59.44</v>
      </c>
      <c r="AG144" s="250">
        <f t="shared" si="20"/>
        <v>2.3063683304647142E-2</v>
      </c>
      <c r="AH144" s="251"/>
      <c r="AI144" s="248" t="s">
        <v>387</v>
      </c>
      <c r="AJ144" s="136">
        <v>159.27000000000001</v>
      </c>
      <c r="AK144" s="250">
        <f t="shared" si="21"/>
        <v>2.9541047188106129E-2</v>
      </c>
      <c r="AL144" s="251"/>
      <c r="AM144" s="248" t="s">
        <v>387</v>
      </c>
      <c r="AN144" s="136">
        <v>50.87</v>
      </c>
      <c r="AO144" s="250">
        <f t="shared" si="22"/>
        <v>2.1691102631050452E-2</v>
      </c>
      <c r="AP144" s="251"/>
      <c r="AQ144" s="248" t="s">
        <v>387</v>
      </c>
      <c r="AR144" s="136">
        <v>235.31</v>
      </c>
      <c r="AS144" s="250">
        <f t="shared" si="23"/>
        <v>2.5990626331486855E-3</v>
      </c>
      <c r="AT144" s="251"/>
      <c r="AU144" s="248" t="s">
        <v>387</v>
      </c>
      <c r="AV144" s="136">
        <v>60.97</v>
      </c>
      <c r="AW144" s="250">
        <f t="shared" si="24"/>
        <v>1.4982520392875065E-2</v>
      </c>
      <c r="AX144" s="251"/>
      <c r="AY144" s="248" t="s">
        <v>387</v>
      </c>
      <c r="AZ144" s="252">
        <v>3974.54</v>
      </c>
      <c r="BA144" s="250">
        <f t="shared" si="25"/>
        <v>1.570110653957224E-2</v>
      </c>
    </row>
    <row r="145" spans="3:53" ht="14.25" customHeight="1" x14ac:dyDescent="0.35">
      <c r="C145" s="248" t="s">
        <v>388</v>
      </c>
      <c r="D145" s="249">
        <v>134.5</v>
      </c>
      <c r="E145" s="250">
        <f t="shared" si="13"/>
        <v>1.0974143114852675E-2</v>
      </c>
      <c r="G145" s="248" t="s">
        <v>388</v>
      </c>
      <c r="H145" s="136">
        <v>50.81</v>
      </c>
      <c r="I145" s="250">
        <f t="shared" si="14"/>
        <v>8.9356632247816759E-3</v>
      </c>
      <c r="K145" s="248" t="s">
        <v>388</v>
      </c>
      <c r="L145" s="136">
        <v>34.14</v>
      </c>
      <c r="M145" s="250">
        <f t="shared" si="15"/>
        <v>2.3074617920287865E-2</v>
      </c>
      <c r="O145" s="248" t="s">
        <v>388</v>
      </c>
      <c r="P145" s="136">
        <v>43.96</v>
      </c>
      <c r="Q145" s="250">
        <f t="shared" si="16"/>
        <v>-1.1468405666741566E-2</v>
      </c>
      <c r="R145" s="251"/>
      <c r="S145" s="248" t="s">
        <v>388</v>
      </c>
      <c r="T145" s="136">
        <v>47.97</v>
      </c>
      <c r="U145" s="250">
        <f t="shared" si="17"/>
        <v>-9.7027250206440652E-3</v>
      </c>
      <c r="V145" s="251"/>
      <c r="W145" s="248" t="s">
        <v>388</v>
      </c>
      <c r="X145" s="136">
        <v>60.81</v>
      </c>
      <c r="Y145" s="250">
        <f t="shared" si="18"/>
        <v>2.8034300791557332E-3</v>
      </c>
      <c r="Z145" s="251"/>
      <c r="AA145" s="248" t="s">
        <v>388</v>
      </c>
      <c r="AB145" s="136">
        <v>39.14</v>
      </c>
      <c r="AC145" s="250">
        <f t="shared" si="19"/>
        <v>2.7027027027026973E-2</v>
      </c>
      <c r="AD145" s="251"/>
      <c r="AE145" s="248" t="s">
        <v>388</v>
      </c>
      <c r="AF145" s="136">
        <v>58.1</v>
      </c>
      <c r="AG145" s="250">
        <f t="shared" si="20"/>
        <v>2.1628275013187981E-2</v>
      </c>
      <c r="AH145" s="251"/>
      <c r="AI145" s="248" t="s">
        <v>388</v>
      </c>
      <c r="AJ145" s="136">
        <v>154.69999999999999</v>
      </c>
      <c r="AK145" s="250">
        <f t="shared" si="21"/>
        <v>1.4825505116767168E-2</v>
      </c>
      <c r="AL145" s="251"/>
      <c r="AM145" s="248" t="s">
        <v>388</v>
      </c>
      <c r="AN145" s="136">
        <v>49.79</v>
      </c>
      <c r="AO145" s="250">
        <f t="shared" si="22"/>
        <v>3.8156797331109216E-2</v>
      </c>
      <c r="AP145" s="251"/>
      <c r="AQ145" s="248" t="s">
        <v>388</v>
      </c>
      <c r="AR145" s="136">
        <v>234.7</v>
      </c>
      <c r="AS145" s="250">
        <f t="shared" si="23"/>
        <v>2.314834997166404E-2</v>
      </c>
      <c r="AT145" s="251"/>
      <c r="AU145" s="248" t="s">
        <v>388</v>
      </c>
      <c r="AV145" s="136">
        <v>60.07</v>
      </c>
      <c r="AW145" s="250">
        <f t="shared" si="24"/>
        <v>2.2468085106382985E-2</v>
      </c>
      <c r="AX145" s="251"/>
      <c r="AY145" s="248" t="s">
        <v>388</v>
      </c>
      <c r="AZ145" s="252">
        <v>3913.1</v>
      </c>
      <c r="BA145" s="250">
        <f t="shared" si="25"/>
        <v>-7.6686260885442392E-3</v>
      </c>
    </row>
    <row r="146" spans="3:53" ht="14.25" customHeight="1" x14ac:dyDescent="0.35">
      <c r="C146" s="253">
        <v>44380</v>
      </c>
      <c r="D146" s="249">
        <v>133.04</v>
      </c>
      <c r="E146" s="250">
        <f t="shared" si="13"/>
        <v>7.5171014056962804E-5</v>
      </c>
      <c r="G146" s="253">
        <v>44380</v>
      </c>
      <c r="H146" s="136">
        <v>50.36</v>
      </c>
      <c r="I146" s="250">
        <f t="shared" si="14"/>
        <v>-8.4662335105335496E-3</v>
      </c>
      <c r="K146" s="253">
        <v>44380</v>
      </c>
      <c r="L146" s="136">
        <v>33.369999999999997</v>
      </c>
      <c r="M146" s="250">
        <f t="shared" si="15"/>
        <v>5.8357120202981116E-2</v>
      </c>
      <c r="O146" s="253">
        <v>44380</v>
      </c>
      <c r="P146" s="136">
        <v>44.47</v>
      </c>
      <c r="Q146" s="250">
        <f t="shared" si="16"/>
        <v>2.9159916685952192E-2</v>
      </c>
      <c r="R146" s="251"/>
      <c r="S146" s="253">
        <v>44380</v>
      </c>
      <c r="T146" s="136">
        <v>48.44</v>
      </c>
      <c r="U146" s="250">
        <f t="shared" si="17"/>
        <v>1.5088013411567402E-2</v>
      </c>
      <c r="V146" s="251"/>
      <c r="W146" s="253">
        <v>44380</v>
      </c>
      <c r="X146" s="136">
        <v>60.64</v>
      </c>
      <c r="Y146" s="250">
        <f t="shared" si="18"/>
        <v>2.363268062120194E-2</v>
      </c>
      <c r="Z146" s="251"/>
      <c r="AA146" s="253">
        <v>44380</v>
      </c>
      <c r="AB146" s="136">
        <v>38.11</v>
      </c>
      <c r="AC146" s="250">
        <f t="shared" si="19"/>
        <v>6.8692206076617079E-3</v>
      </c>
      <c r="AD146" s="251"/>
      <c r="AE146" s="253">
        <v>44380</v>
      </c>
      <c r="AF146" s="136">
        <v>56.87</v>
      </c>
      <c r="AG146" s="250">
        <f t="shared" si="20"/>
        <v>2.3209787693414974E-2</v>
      </c>
      <c r="AH146" s="251"/>
      <c r="AI146" s="253">
        <v>44380</v>
      </c>
      <c r="AJ146" s="136">
        <v>152.44</v>
      </c>
      <c r="AK146" s="250">
        <f t="shared" si="21"/>
        <v>1.3698630136986356E-2</v>
      </c>
      <c r="AL146" s="251"/>
      <c r="AM146" s="253">
        <v>44380</v>
      </c>
      <c r="AN146" s="136">
        <v>47.96</v>
      </c>
      <c r="AO146" s="250">
        <f t="shared" si="22"/>
        <v>2.9405451813693917E-2</v>
      </c>
      <c r="AP146" s="251"/>
      <c r="AQ146" s="253">
        <v>44380</v>
      </c>
      <c r="AR146" s="136">
        <v>229.39</v>
      </c>
      <c r="AS146" s="250">
        <f t="shared" si="23"/>
        <v>5.7048062301276348E-2</v>
      </c>
      <c r="AT146" s="251"/>
      <c r="AU146" s="253">
        <v>44380</v>
      </c>
      <c r="AV146" s="136">
        <v>58.75</v>
      </c>
      <c r="AW146" s="250">
        <f t="shared" si="24"/>
        <v>3.4695315251849213E-2</v>
      </c>
      <c r="AX146" s="251"/>
      <c r="AY146" s="253">
        <v>44380</v>
      </c>
      <c r="AZ146" s="252">
        <v>3943.34</v>
      </c>
      <c r="BA146" s="250">
        <f t="shared" si="25"/>
        <v>2.6392916078856077E-2</v>
      </c>
    </row>
    <row r="147" spans="3:53" ht="14.25" customHeight="1" x14ac:dyDescent="0.35">
      <c r="C147" s="248" t="s">
        <v>389</v>
      </c>
      <c r="D147" s="249">
        <v>133.03</v>
      </c>
      <c r="E147" s="250">
        <f t="shared" si="13"/>
        <v>2.9723662822199959E-2</v>
      </c>
      <c r="G147" s="248" t="s">
        <v>389</v>
      </c>
      <c r="H147" s="136">
        <v>50.79</v>
      </c>
      <c r="I147" s="250">
        <f t="shared" si="14"/>
        <v>3.6742192284139552E-2</v>
      </c>
      <c r="K147" s="248" t="s">
        <v>389</v>
      </c>
      <c r="L147" s="136">
        <v>31.53</v>
      </c>
      <c r="M147" s="250">
        <f t="shared" si="15"/>
        <v>3.3093053735255618E-2</v>
      </c>
      <c r="O147" s="248" t="s">
        <v>389</v>
      </c>
      <c r="P147" s="136">
        <v>43.21</v>
      </c>
      <c r="Q147" s="250">
        <f t="shared" si="16"/>
        <v>-1.504444950991557E-2</v>
      </c>
      <c r="R147" s="251"/>
      <c r="S147" s="248" t="s">
        <v>389</v>
      </c>
      <c r="T147" s="136">
        <v>47.72</v>
      </c>
      <c r="U147" s="250">
        <f t="shared" si="17"/>
        <v>2.9113651067500523E-2</v>
      </c>
      <c r="V147" s="251"/>
      <c r="W147" s="248" t="s">
        <v>389</v>
      </c>
      <c r="X147" s="136">
        <v>59.24</v>
      </c>
      <c r="Y147" s="250">
        <f t="shared" si="18"/>
        <v>2.6511869693293999E-2</v>
      </c>
      <c r="Z147" s="251"/>
      <c r="AA147" s="248" t="s">
        <v>389</v>
      </c>
      <c r="AB147" s="136">
        <v>37.85</v>
      </c>
      <c r="AC147" s="250">
        <f t="shared" si="19"/>
        <v>4.0406816932380352E-2</v>
      </c>
      <c r="AD147" s="251"/>
      <c r="AE147" s="248" t="s">
        <v>389</v>
      </c>
      <c r="AF147" s="136">
        <v>55.58</v>
      </c>
      <c r="AG147" s="250">
        <f t="shared" si="20"/>
        <v>4.5522949586155104E-2</v>
      </c>
      <c r="AH147" s="251"/>
      <c r="AI147" s="248" t="s">
        <v>389</v>
      </c>
      <c r="AJ147" s="136">
        <v>150.38</v>
      </c>
      <c r="AK147" s="250">
        <f t="shared" si="21"/>
        <v>3.2475111568829318E-2</v>
      </c>
      <c r="AL147" s="251"/>
      <c r="AM147" s="248" t="s">
        <v>389</v>
      </c>
      <c r="AN147" s="136">
        <v>46.59</v>
      </c>
      <c r="AO147" s="250">
        <f t="shared" si="22"/>
        <v>2.4406332453825952E-2</v>
      </c>
      <c r="AP147" s="251"/>
      <c r="AQ147" s="248" t="s">
        <v>389</v>
      </c>
      <c r="AR147" s="136">
        <v>217.01</v>
      </c>
      <c r="AS147" s="250">
        <f t="shared" si="23"/>
        <v>1.3402446997291539E-2</v>
      </c>
      <c r="AT147" s="251"/>
      <c r="AU147" s="248" t="s">
        <v>389</v>
      </c>
      <c r="AV147" s="136">
        <v>56.78</v>
      </c>
      <c r="AW147" s="250">
        <f t="shared" si="24"/>
        <v>3.2175968005817124E-2</v>
      </c>
      <c r="AX147" s="251"/>
      <c r="AY147" s="248" t="s">
        <v>389</v>
      </c>
      <c r="AZ147" s="252">
        <v>3841.94</v>
      </c>
      <c r="BA147" s="250">
        <f t="shared" si="25"/>
        <v>8.0789263083320684E-3</v>
      </c>
    </row>
    <row r="148" spans="3:53" ht="14.25" customHeight="1" x14ac:dyDescent="0.35">
      <c r="C148" s="248" t="s">
        <v>390</v>
      </c>
      <c r="D148" s="249">
        <v>129.19</v>
      </c>
      <c r="E148" s="250">
        <f t="shared" si="13"/>
        <v>-2.5054712851860228E-2</v>
      </c>
      <c r="G148" s="248" t="s">
        <v>390</v>
      </c>
      <c r="H148" s="136">
        <v>48.99</v>
      </c>
      <c r="I148" s="250">
        <f t="shared" si="14"/>
        <v>-2.2350828178008375E-2</v>
      </c>
      <c r="K148" s="248" t="s">
        <v>390</v>
      </c>
      <c r="L148" s="136">
        <v>30.52</v>
      </c>
      <c r="M148" s="250">
        <f t="shared" si="15"/>
        <v>-2.3047375160051176E-2</v>
      </c>
      <c r="O148" s="248" t="s">
        <v>390</v>
      </c>
      <c r="P148" s="136">
        <v>43.87</v>
      </c>
      <c r="Q148" s="250">
        <f t="shared" si="16"/>
        <v>-2.1414231541378559E-2</v>
      </c>
      <c r="R148" s="251"/>
      <c r="S148" s="248" t="s">
        <v>390</v>
      </c>
      <c r="T148" s="136">
        <v>46.37</v>
      </c>
      <c r="U148" s="250">
        <f t="shared" si="17"/>
        <v>-1.5498938428874842E-2</v>
      </c>
      <c r="V148" s="251"/>
      <c r="W148" s="248" t="s">
        <v>390</v>
      </c>
      <c r="X148" s="136">
        <v>57.71</v>
      </c>
      <c r="Y148" s="250">
        <f t="shared" si="18"/>
        <v>-3.4536349507856556E-3</v>
      </c>
      <c r="Z148" s="251"/>
      <c r="AA148" s="248" t="s">
        <v>390</v>
      </c>
      <c r="AB148" s="136">
        <v>36.380000000000003</v>
      </c>
      <c r="AC148" s="250">
        <f t="shared" si="19"/>
        <v>-2.9348986125933729E-2</v>
      </c>
      <c r="AD148" s="251"/>
      <c r="AE148" s="248" t="s">
        <v>390</v>
      </c>
      <c r="AF148" s="136">
        <v>53.16</v>
      </c>
      <c r="AG148" s="250">
        <f t="shared" si="20"/>
        <v>-2.1174737617381756E-2</v>
      </c>
      <c r="AH148" s="251"/>
      <c r="AI148" s="248" t="s">
        <v>390</v>
      </c>
      <c r="AJ148" s="136">
        <v>145.65</v>
      </c>
      <c r="AK148" s="250">
        <f t="shared" si="21"/>
        <v>-2.1498152502519186E-2</v>
      </c>
      <c r="AL148" s="251"/>
      <c r="AM148" s="248" t="s">
        <v>390</v>
      </c>
      <c r="AN148" s="136">
        <v>45.48</v>
      </c>
      <c r="AO148" s="250">
        <f t="shared" si="22"/>
        <v>-1.81347150259068E-2</v>
      </c>
      <c r="AP148" s="251"/>
      <c r="AQ148" s="248" t="s">
        <v>390</v>
      </c>
      <c r="AR148" s="136">
        <v>214.14</v>
      </c>
      <c r="AS148" s="250">
        <f t="shared" si="23"/>
        <v>-4.0634380180099572E-2</v>
      </c>
      <c r="AT148" s="251"/>
      <c r="AU148" s="248" t="s">
        <v>390</v>
      </c>
      <c r="AV148" s="136">
        <v>55.01</v>
      </c>
      <c r="AW148" s="250">
        <f t="shared" si="24"/>
        <v>-2.6371681415929271E-2</v>
      </c>
      <c r="AX148" s="251"/>
      <c r="AY148" s="248" t="s">
        <v>390</v>
      </c>
      <c r="AZ148" s="252">
        <v>3811.15</v>
      </c>
      <c r="BA148" s="250">
        <f t="shared" si="25"/>
        <v>-2.4460479533930046E-2</v>
      </c>
    </row>
    <row r="149" spans="3:53" ht="14.25" customHeight="1" x14ac:dyDescent="0.35">
      <c r="C149" s="248" t="s">
        <v>391</v>
      </c>
      <c r="D149" s="249">
        <v>132.51</v>
      </c>
      <c r="E149" s="250">
        <f t="shared" si="13"/>
        <v>-1.0159109583924852E-2</v>
      </c>
      <c r="G149" s="248" t="s">
        <v>391</v>
      </c>
      <c r="H149" s="136">
        <v>50.11</v>
      </c>
      <c r="I149" s="250">
        <f t="shared" si="14"/>
        <v>-1.1442099033339925E-2</v>
      </c>
      <c r="K149" s="248" t="s">
        <v>391</v>
      </c>
      <c r="L149" s="136">
        <v>31.24</v>
      </c>
      <c r="M149" s="250">
        <f t="shared" si="15"/>
        <v>-1.6682404784387872E-2</v>
      </c>
      <c r="O149" s="248" t="s">
        <v>391</v>
      </c>
      <c r="P149" s="136">
        <v>44.83</v>
      </c>
      <c r="Q149" s="250">
        <f t="shared" si="16"/>
        <v>-2.2672770874209713E-2</v>
      </c>
      <c r="R149" s="251"/>
      <c r="S149" s="248" t="s">
        <v>391</v>
      </c>
      <c r="T149" s="136">
        <v>47.1</v>
      </c>
      <c r="U149" s="250">
        <f t="shared" si="17"/>
        <v>-2.3631840796019876E-2</v>
      </c>
      <c r="V149" s="251"/>
      <c r="W149" s="248" t="s">
        <v>391</v>
      </c>
      <c r="X149" s="136">
        <v>57.91</v>
      </c>
      <c r="Y149" s="250">
        <f t="shared" si="18"/>
        <v>9.2366678285116244E-3</v>
      </c>
      <c r="Z149" s="251"/>
      <c r="AA149" s="248" t="s">
        <v>391</v>
      </c>
      <c r="AB149" s="136">
        <v>37.479999999999997</v>
      </c>
      <c r="AC149" s="250">
        <f t="shared" si="19"/>
        <v>5.9056230573608204E-2</v>
      </c>
      <c r="AD149" s="251"/>
      <c r="AE149" s="248" t="s">
        <v>391</v>
      </c>
      <c r="AF149" s="136">
        <v>54.31</v>
      </c>
      <c r="AG149" s="250">
        <f t="shared" si="20"/>
        <v>-1.5944917557528471E-2</v>
      </c>
      <c r="AH149" s="251"/>
      <c r="AI149" s="248" t="s">
        <v>391</v>
      </c>
      <c r="AJ149" s="136">
        <v>148.85</v>
      </c>
      <c r="AK149" s="250">
        <f t="shared" si="21"/>
        <v>-1.6712907913859154E-2</v>
      </c>
      <c r="AL149" s="251"/>
      <c r="AM149" s="248" t="s">
        <v>391</v>
      </c>
      <c r="AN149" s="136">
        <v>46.32</v>
      </c>
      <c r="AO149" s="250">
        <f t="shared" si="22"/>
        <v>-9.1978609625668062E-3</v>
      </c>
      <c r="AP149" s="251"/>
      <c r="AQ149" s="248" t="s">
        <v>391</v>
      </c>
      <c r="AR149" s="136">
        <v>223.21</v>
      </c>
      <c r="AS149" s="250">
        <f t="shared" si="23"/>
        <v>-7.485389812243548E-2</v>
      </c>
      <c r="AT149" s="251"/>
      <c r="AU149" s="248" t="s">
        <v>391</v>
      </c>
      <c r="AV149" s="136">
        <v>56.5</v>
      </c>
      <c r="AW149" s="250">
        <f t="shared" si="24"/>
        <v>-1.0854341736694639E-2</v>
      </c>
      <c r="AX149" s="251"/>
      <c r="AY149" s="248" t="s">
        <v>391</v>
      </c>
      <c r="AZ149" s="252">
        <v>3906.71</v>
      </c>
      <c r="BA149" s="250">
        <f t="shared" si="25"/>
        <v>-7.1464332639529227E-3</v>
      </c>
    </row>
    <row r="150" spans="3:53" ht="14.25" customHeight="1" x14ac:dyDescent="0.35">
      <c r="C150" s="253">
        <v>44379</v>
      </c>
      <c r="D150" s="249">
        <v>133.87</v>
      </c>
      <c r="E150" s="250">
        <f t="shared" ref="E150:E213" si="26">D150/D151-1</f>
        <v>-5.0297956867196403E-2</v>
      </c>
      <c r="G150" s="253">
        <v>44379</v>
      </c>
      <c r="H150" s="136">
        <v>50.69</v>
      </c>
      <c r="I150" s="250">
        <f t="shared" ref="I150:I213" si="27">H150/H151-1</f>
        <v>2.0946626384692912E-2</v>
      </c>
      <c r="K150" s="253">
        <v>44379</v>
      </c>
      <c r="L150" s="136">
        <v>31.77</v>
      </c>
      <c r="M150" s="250">
        <f t="shared" ref="M150:M213" si="28">L150/L151-1</f>
        <v>-2.33630494927759E-2</v>
      </c>
      <c r="O150" s="253">
        <v>44379</v>
      </c>
      <c r="P150" s="136">
        <v>45.87</v>
      </c>
      <c r="Q150" s="250">
        <f t="shared" ref="Q150:Q213" si="29">P150/P151-1</f>
        <v>7.0252469813392171E-3</v>
      </c>
      <c r="R150" s="251"/>
      <c r="S150" s="253">
        <v>44379</v>
      </c>
      <c r="T150" s="136">
        <v>48.24</v>
      </c>
      <c r="U150" s="250">
        <f t="shared" ref="U150:U213" si="30">T150/T151-1</f>
        <v>-1.6714227476559373E-2</v>
      </c>
      <c r="V150" s="251"/>
      <c r="W150" s="253">
        <v>44379</v>
      </c>
      <c r="X150" s="136">
        <v>57.38</v>
      </c>
      <c r="Y150" s="250">
        <f t="shared" ref="Y150:Y213" si="31">X150/X151-1</f>
        <v>-1.1201102877821834E-2</v>
      </c>
      <c r="Z150" s="251"/>
      <c r="AA150" s="253">
        <v>44379</v>
      </c>
      <c r="AB150" s="136">
        <v>35.39</v>
      </c>
      <c r="AC150" s="250">
        <f t="shared" ref="AC150:AC213" si="32">AB150/AB151-1</f>
        <v>4.7041420118343336E-2</v>
      </c>
      <c r="AD150" s="251"/>
      <c r="AE150" s="253">
        <v>44379</v>
      </c>
      <c r="AF150" s="136">
        <v>55.19</v>
      </c>
      <c r="AG150" s="250">
        <f t="shared" ref="AG150:AG213" si="33">AF150/AF151-1</f>
        <v>-1.8146237324319525E-2</v>
      </c>
      <c r="AH150" s="251"/>
      <c r="AI150" s="253">
        <v>44379</v>
      </c>
      <c r="AJ150" s="136">
        <v>151.38</v>
      </c>
      <c r="AK150" s="250">
        <f t="shared" ref="AK150:AK213" si="34">AJ150/AJ151-1</f>
        <v>3.2605729877216882E-2</v>
      </c>
      <c r="AL150" s="251"/>
      <c r="AM150" s="253">
        <v>44379</v>
      </c>
      <c r="AN150" s="136">
        <v>46.75</v>
      </c>
      <c r="AO150" s="250">
        <f t="shared" ref="AO150:AO213" si="35">AN150/AN151-1</f>
        <v>-1.5789473684210575E-2</v>
      </c>
      <c r="AP150" s="251"/>
      <c r="AQ150" s="253">
        <v>44379</v>
      </c>
      <c r="AR150" s="136">
        <v>241.27</v>
      </c>
      <c r="AS150" s="250">
        <f t="shared" ref="AS150:AS213" si="36">AR150/AR151-1</f>
        <v>5.8526740665993948E-2</v>
      </c>
      <c r="AT150" s="251"/>
      <c r="AU150" s="253">
        <v>44379</v>
      </c>
      <c r="AV150" s="136">
        <v>57.12</v>
      </c>
      <c r="AW150" s="250">
        <f t="shared" ref="AW150:AW213" si="37">AV150/AV151-1</f>
        <v>-4.8780487804878092E-3</v>
      </c>
      <c r="AX150" s="251"/>
      <c r="AY150" s="253">
        <v>44379</v>
      </c>
      <c r="AZ150" s="252">
        <v>3934.83</v>
      </c>
      <c r="BA150" s="250">
        <f t="shared" ref="BA150:BA213" si="38">AZ150/AZ151-1</f>
        <v>1.2349395265550678E-2</v>
      </c>
    </row>
    <row r="151" spans="3:53" ht="14.25" customHeight="1" x14ac:dyDescent="0.35">
      <c r="C151" s="248" t="s">
        <v>392</v>
      </c>
      <c r="D151" s="249">
        <v>140.96</v>
      </c>
      <c r="E151" s="250">
        <f t="shared" si="26"/>
        <v>3.2144687705938368E-2</v>
      </c>
      <c r="G151" s="248" t="s">
        <v>392</v>
      </c>
      <c r="H151" s="136">
        <v>49.65</v>
      </c>
      <c r="I151" s="250">
        <f t="shared" si="27"/>
        <v>3.1152647975077885E-2</v>
      </c>
      <c r="K151" s="248" t="s">
        <v>392</v>
      </c>
      <c r="L151" s="136">
        <v>32.53</v>
      </c>
      <c r="M151" s="250">
        <f t="shared" si="28"/>
        <v>2.2955974842767235E-2</v>
      </c>
      <c r="O151" s="248" t="s">
        <v>392</v>
      </c>
      <c r="P151" s="136">
        <v>45.55</v>
      </c>
      <c r="Q151" s="250">
        <f t="shared" si="29"/>
        <v>4.9297396913153602E-2</v>
      </c>
      <c r="R151" s="251"/>
      <c r="S151" s="248" t="s">
        <v>392</v>
      </c>
      <c r="T151" s="136">
        <v>49.06</v>
      </c>
      <c r="U151" s="250">
        <f t="shared" si="30"/>
        <v>4.6948356807511749E-2</v>
      </c>
      <c r="V151" s="251"/>
      <c r="W151" s="248" t="s">
        <v>392</v>
      </c>
      <c r="X151" s="136">
        <v>58.03</v>
      </c>
      <c r="Y151" s="250">
        <f t="shared" si="31"/>
        <v>-1.5439429928741033E-2</v>
      </c>
      <c r="Z151" s="251"/>
      <c r="AA151" s="248" t="s">
        <v>392</v>
      </c>
      <c r="AB151" s="136">
        <v>33.799999999999997</v>
      </c>
      <c r="AC151" s="250">
        <f t="shared" si="32"/>
        <v>8.654133094598615E-3</v>
      </c>
      <c r="AD151" s="251"/>
      <c r="AE151" s="248" t="s">
        <v>392</v>
      </c>
      <c r="AF151" s="136">
        <v>56.21</v>
      </c>
      <c r="AG151" s="250">
        <f t="shared" si="33"/>
        <v>1.388888888888884E-2</v>
      </c>
      <c r="AH151" s="251"/>
      <c r="AI151" s="248" t="s">
        <v>392</v>
      </c>
      <c r="AJ151" s="136">
        <v>146.6</v>
      </c>
      <c r="AK151" s="250">
        <f t="shared" si="34"/>
        <v>7.9757975797578595E-3</v>
      </c>
      <c r="AL151" s="251"/>
      <c r="AM151" s="248" t="s">
        <v>392</v>
      </c>
      <c r="AN151" s="136">
        <v>47.5</v>
      </c>
      <c r="AO151" s="250">
        <f t="shared" si="35"/>
        <v>-1.2679276657659555E-2</v>
      </c>
      <c r="AP151" s="251"/>
      <c r="AQ151" s="248" t="s">
        <v>392</v>
      </c>
      <c r="AR151" s="136">
        <v>227.93</v>
      </c>
      <c r="AS151" s="250">
        <f t="shared" si="36"/>
        <v>8.0595458208884363E-2</v>
      </c>
      <c r="AT151" s="251"/>
      <c r="AU151" s="248" t="s">
        <v>392</v>
      </c>
      <c r="AV151" s="136">
        <v>57.4</v>
      </c>
      <c r="AW151" s="250">
        <f t="shared" si="37"/>
        <v>-1.2048192771084376E-2</v>
      </c>
      <c r="AX151" s="251"/>
      <c r="AY151" s="248" t="s">
        <v>392</v>
      </c>
      <c r="AZ151" s="252">
        <v>3886.83</v>
      </c>
      <c r="BA151" s="250">
        <f t="shared" si="38"/>
        <v>4.6467110364435404E-2</v>
      </c>
    </row>
    <row r="152" spans="3:53" ht="14.25" customHeight="1" x14ac:dyDescent="0.35">
      <c r="C152" s="248" t="s">
        <v>393</v>
      </c>
      <c r="D152" s="249">
        <v>136.57</v>
      </c>
      <c r="E152" s="250">
        <f t="shared" si="26"/>
        <v>-1.4575366188036676E-2</v>
      </c>
      <c r="G152" s="248" t="s">
        <v>393</v>
      </c>
      <c r="H152" s="136">
        <v>48.15</v>
      </c>
      <c r="I152" s="250">
        <f t="shared" si="27"/>
        <v>-7.0117550010312391E-3</v>
      </c>
      <c r="K152" s="248" t="s">
        <v>393</v>
      </c>
      <c r="L152" s="136">
        <v>31.8</v>
      </c>
      <c r="M152" s="250">
        <f t="shared" si="28"/>
        <v>1.048617731172552E-2</v>
      </c>
      <c r="O152" s="248" t="s">
        <v>393</v>
      </c>
      <c r="P152" s="136">
        <v>43.41</v>
      </c>
      <c r="Q152" s="250">
        <f t="shared" si="29"/>
        <v>-1.5646258503401511E-2</v>
      </c>
      <c r="R152" s="251"/>
      <c r="S152" s="248" t="s">
        <v>393</v>
      </c>
      <c r="T152" s="136">
        <v>46.86</v>
      </c>
      <c r="U152" s="250">
        <f t="shared" si="30"/>
        <v>3.1931292666813604E-2</v>
      </c>
      <c r="V152" s="251"/>
      <c r="W152" s="248" t="s">
        <v>393</v>
      </c>
      <c r="X152" s="136">
        <v>58.94</v>
      </c>
      <c r="Y152" s="250">
        <f t="shared" si="31"/>
        <v>1.0977701543739338E-2</v>
      </c>
      <c r="Z152" s="251"/>
      <c r="AA152" s="248" t="s">
        <v>393</v>
      </c>
      <c r="AB152" s="136">
        <v>33.51</v>
      </c>
      <c r="AC152" s="250">
        <f t="shared" si="32"/>
        <v>1.8231540565177839E-2</v>
      </c>
      <c r="AD152" s="251"/>
      <c r="AE152" s="248" t="s">
        <v>393</v>
      </c>
      <c r="AF152" s="136">
        <v>55.44</v>
      </c>
      <c r="AG152" s="250">
        <f t="shared" si="33"/>
        <v>-1.4400000000000079E-2</v>
      </c>
      <c r="AH152" s="251"/>
      <c r="AI152" s="248" t="s">
        <v>393</v>
      </c>
      <c r="AJ152" s="136">
        <v>145.44</v>
      </c>
      <c r="AK152" s="250">
        <f t="shared" si="34"/>
        <v>-1.8623481781376405E-2</v>
      </c>
      <c r="AL152" s="251"/>
      <c r="AM152" s="248" t="s">
        <v>393</v>
      </c>
      <c r="AN152" s="136">
        <v>48.11</v>
      </c>
      <c r="AO152" s="250">
        <f t="shared" si="35"/>
        <v>3.284671532846728E-2</v>
      </c>
      <c r="AP152" s="251"/>
      <c r="AQ152" s="248" t="s">
        <v>393</v>
      </c>
      <c r="AR152" s="136">
        <v>210.93</v>
      </c>
      <c r="AS152" s="250">
        <f t="shared" si="36"/>
        <v>-7.0424397338151645E-2</v>
      </c>
      <c r="AT152" s="251"/>
      <c r="AU152" s="248" t="s">
        <v>393</v>
      </c>
      <c r="AV152" s="136">
        <v>58.1</v>
      </c>
      <c r="AW152" s="250">
        <f t="shared" si="37"/>
        <v>3.8056101482937255E-2</v>
      </c>
      <c r="AX152" s="251"/>
      <c r="AY152" s="248" t="s">
        <v>393</v>
      </c>
      <c r="AZ152" s="252">
        <v>3714.24</v>
      </c>
      <c r="BA152" s="250">
        <f t="shared" si="38"/>
        <v>-3.3120133698818388E-2</v>
      </c>
    </row>
    <row r="153" spans="3:53" ht="14.25" customHeight="1" x14ac:dyDescent="0.35">
      <c r="C153" s="248" t="s">
        <v>394</v>
      </c>
      <c r="D153" s="249">
        <v>138.59</v>
      </c>
      <c r="E153" s="250">
        <f t="shared" si="26"/>
        <v>-1.9803380719994212E-2</v>
      </c>
      <c r="G153" s="248" t="s">
        <v>394</v>
      </c>
      <c r="H153" s="136">
        <v>48.49</v>
      </c>
      <c r="I153" s="250">
        <f t="shared" si="27"/>
        <v>-4.3121149897330513E-3</v>
      </c>
      <c r="K153" s="248" t="s">
        <v>394</v>
      </c>
      <c r="L153" s="136">
        <v>31.47</v>
      </c>
      <c r="M153" s="250">
        <f t="shared" si="28"/>
        <v>-1.2241054613935987E-2</v>
      </c>
      <c r="O153" s="248" t="s">
        <v>394</v>
      </c>
      <c r="P153" s="136">
        <v>44.1</v>
      </c>
      <c r="Q153" s="250">
        <f t="shared" si="29"/>
        <v>-3.7748199869081289E-2</v>
      </c>
      <c r="R153" s="251"/>
      <c r="S153" s="248" t="s">
        <v>394</v>
      </c>
      <c r="T153" s="136">
        <v>45.41</v>
      </c>
      <c r="U153" s="250">
        <f t="shared" si="30"/>
        <v>1.2034767104969868E-2</v>
      </c>
      <c r="V153" s="251"/>
      <c r="W153" s="248" t="s">
        <v>394</v>
      </c>
      <c r="X153" s="136">
        <v>58.3</v>
      </c>
      <c r="Y153" s="250">
        <f t="shared" si="31"/>
        <v>-1.2366593257665648E-2</v>
      </c>
      <c r="Z153" s="251"/>
      <c r="AA153" s="248" t="s">
        <v>394</v>
      </c>
      <c r="AB153" s="136">
        <v>32.909999999999997</v>
      </c>
      <c r="AC153" s="250">
        <f t="shared" si="32"/>
        <v>2.8758987183494789E-2</v>
      </c>
      <c r="AD153" s="251"/>
      <c r="AE153" s="248" t="s">
        <v>394</v>
      </c>
      <c r="AF153" s="136">
        <v>56.25</v>
      </c>
      <c r="AG153" s="250">
        <f t="shared" si="33"/>
        <v>-1.6952114645228944E-2</v>
      </c>
      <c r="AH153" s="251"/>
      <c r="AI153" s="248" t="s">
        <v>394</v>
      </c>
      <c r="AJ153" s="136">
        <v>148.19999999999999</v>
      </c>
      <c r="AK153" s="250">
        <f t="shared" si="34"/>
        <v>-1.7513134851139256E-3</v>
      </c>
      <c r="AL153" s="251"/>
      <c r="AM153" s="248" t="s">
        <v>394</v>
      </c>
      <c r="AN153" s="136">
        <v>46.58</v>
      </c>
      <c r="AO153" s="250">
        <f t="shared" si="35"/>
        <v>3.4467901766479514E-3</v>
      </c>
      <c r="AP153" s="251"/>
      <c r="AQ153" s="248" t="s">
        <v>394</v>
      </c>
      <c r="AR153" s="136">
        <v>226.91</v>
      </c>
      <c r="AS153" s="250">
        <f t="shared" si="36"/>
        <v>3.1455975271603265E-2</v>
      </c>
      <c r="AT153" s="251"/>
      <c r="AU153" s="248" t="s">
        <v>394</v>
      </c>
      <c r="AV153" s="136">
        <v>55.97</v>
      </c>
      <c r="AW153" s="250">
        <f t="shared" si="37"/>
        <v>-4.8008534850640938E-3</v>
      </c>
      <c r="AX153" s="251"/>
      <c r="AY153" s="248" t="s">
        <v>394</v>
      </c>
      <c r="AZ153" s="252">
        <v>3841.47</v>
      </c>
      <c r="BA153" s="250">
        <f t="shared" si="38"/>
        <v>1.9430770251442908E-2</v>
      </c>
    </row>
    <row r="154" spans="3:53" ht="14.25" customHeight="1" x14ac:dyDescent="0.35">
      <c r="C154" s="253">
        <v>44470</v>
      </c>
      <c r="D154" s="249">
        <v>141.38999999999999</v>
      </c>
      <c r="E154" s="250">
        <f t="shared" si="26"/>
        <v>-1.9350811485643105E-2</v>
      </c>
      <c r="G154" s="253">
        <v>44470</v>
      </c>
      <c r="H154" s="136">
        <v>48.7</v>
      </c>
      <c r="I154" s="250">
        <f t="shared" si="27"/>
        <v>-4.6593578700078186E-2</v>
      </c>
      <c r="K154" s="253">
        <v>44470</v>
      </c>
      <c r="L154" s="136">
        <v>31.86</v>
      </c>
      <c r="M154" s="250">
        <f t="shared" si="28"/>
        <v>-4.3750000000000178E-3</v>
      </c>
      <c r="O154" s="253">
        <v>44470</v>
      </c>
      <c r="P154" s="136">
        <v>45.83</v>
      </c>
      <c r="Q154" s="250">
        <f t="shared" si="29"/>
        <v>-3.4954727311012901E-2</v>
      </c>
      <c r="R154" s="251"/>
      <c r="S154" s="253">
        <v>44470</v>
      </c>
      <c r="T154" s="136">
        <v>44.87</v>
      </c>
      <c r="U154" s="250">
        <f t="shared" si="30"/>
        <v>-1.2544014084507005E-2</v>
      </c>
      <c r="V154" s="251"/>
      <c r="W154" s="253">
        <v>44470</v>
      </c>
      <c r="X154" s="136">
        <v>59.03</v>
      </c>
      <c r="Y154" s="250">
        <f t="shared" si="31"/>
        <v>-1.9435215946843831E-2</v>
      </c>
      <c r="Z154" s="251"/>
      <c r="AA154" s="253">
        <v>44470</v>
      </c>
      <c r="AB154" s="136">
        <v>31.99</v>
      </c>
      <c r="AC154" s="250">
        <f t="shared" si="32"/>
        <v>-4.848304580606777E-2</v>
      </c>
      <c r="AD154" s="251"/>
      <c r="AE154" s="253">
        <v>44470</v>
      </c>
      <c r="AF154" s="136">
        <v>57.22</v>
      </c>
      <c r="AG154" s="250">
        <f t="shared" si="33"/>
        <v>-1.6669530847224556E-2</v>
      </c>
      <c r="AH154" s="251"/>
      <c r="AI154" s="253">
        <v>44470</v>
      </c>
      <c r="AJ154" s="136">
        <v>148.46</v>
      </c>
      <c r="AK154" s="250">
        <f t="shared" si="34"/>
        <v>-2.348220745905405E-2</v>
      </c>
      <c r="AL154" s="251"/>
      <c r="AM154" s="253">
        <v>44470</v>
      </c>
      <c r="AN154" s="136">
        <v>46.42</v>
      </c>
      <c r="AO154" s="250">
        <f t="shared" si="35"/>
        <v>-9.3896713615022609E-3</v>
      </c>
      <c r="AP154" s="251"/>
      <c r="AQ154" s="253">
        <v>44470</v>
      </c>
      <c r="AR154" s="136">
        <v>219.99</v>
      </c>
      <c r="AS154" s="250">
        <f t="shared" si="36"/>
        <v>-4.4394248729420993E-2</v>
      </c>
      <c r="AT154" s="251"/>
      <c r="AU154" s="253">
        <v>44470</v>
      </c>
      <c r="AV154" s="136">
        <v>56.24</v>
      </c>
      <c r="AW154" s="250">
        <f t="shared" si="37"/>
        <v>-2.8368794326240065E-3</v>
      </c>
      <c r="AX154" s="251"/>
      <c r="AY154" s="253">
        <v>44470</v>
      </c>
      <c r="AZ154" s="252">
        <v>3768.25</v>
      </c>
      <c r="BA154" s="250">
        <f t="shared" si="38"/>
        <v>-1.4754175512722623E-2</v>
      </c>
    </row>
    <row r="155" spans="3:53" ht="14.25" customHeight="1" x14ac:dyDescent="0.35">
      <c r="C155" s="253">
        <v>44256</v>
      </c>
      <c r="D155" s="249">
        <v>144.18</v>
      </c>
      <c r="E155" s="250">
        <f t="shared" si="26"/>
        <v>-2.7781523937963626E-2</v>
      </c>
      <c r="G155" s="253">
        <v>44256</v>
      </c>
      <c r="H155" s="136">
        <v>51.08</v>
      </c>
      <c r="I155" s="250">
        <f t="shared" si="27"/>
        <v>-6.8563092633114553E-2</v>
      </c>
      <c r="K155" s="253">
        <v>44256</v>
      </c>
      <c r="L155" s="136">
        <v>32</v>
      </c>
      <c r="M155" s="250">
        <f t="shared" si="28"/>
        <v>0</v>
      </c>
      <c r="O155" s="253">
        <v>44256</v>
      </c>
      <c r="P155" s="136">
        <v>47.49</v>
      </c>
      <c r="Q155" s="250">
        <f t="shared" si="29"/>
        <v>2.7032871972318295E-2</v>
      </c>
      <c r="R155" s="251"/>
      <c r="S155" s="253">
        <v>44256</v>
      </c>
      <c r="T155" s="136">
        <v>45.44</v>
      </c>
      <c r="U155" s="250">
        <f t="shared" si="30"/>
        <v>-2.5101909461488936E-2</v>
      </c>
      <c r="V155" s="251"/>
      <c r="W155" s="253">
        <v>44256</v>
      </c>
      <c r="X155" s="136">
        <v>60.2</v>
      </c>
      <c r="Y155" s="250">
        <f t="shared" si="31"/>
        <v>-3.2620922384701823E-2</v>
      </c>
      <c r="Z155" s="251"/>
      <c r="AA155" s="253">
        <v>44256</v>
      </c>
      <c r="AB155" s="136">
        <v>33.619999999999997</v>
      </c>
      <c r="AC155" s="250">
        <f t="shared" si="32"/>
        <v>-3.0005770340450044E-2</v>
      </c>
      <c r="AD155" s="251"/>
      <c r="AE155" s="253">
        <v>44256</v>
      </c>
      <c r="AF155" s="136">
        <v>58.19</v>
      </c>
      <c r="AG155" s="250">
        <f t="shared" si="33"/>
        <v>-4.7887805712331089E-3</v>
      </c>
      <c r="AH155" s="251"/>
      <c r="AI155" s="253">
        <v>44256</v>
      </c>
      <c r="AJ155" s="136">
        <v>152.03</v>
      </c>
      <c r="AK155" s="250">
        <f t="shared" si="34"/>
        <v>-1.9694085209742695E-3</v>
      </c>
      <c r="AL155" s="251"/>
      <c r="AM155" s="253">
        <v>44256</v>
      </c>
      <c r="AN155" s="136">
        <v>46.86</v>
      </c>
      <c r="AO155" s="250">
        <f t="shared" si="35"/>
        <v>-3.0816959669079713E-2</v>
      </c>
      <c r="AP155" s="251"/>
      <c r="AQ155" s="253">
        <v>44256</v>
      </c>
      <c r="AR155" s="136">
        <v>230.21</v>
      </c>
      <c r="AS155" s="250">
        <f t="shared" si="36"/>
        <v>5.0947272312257486E-2</v>
      </c>
      <c r="AT155" s="251"/>
      <c r="AU155" s="253">
        <v>44256</v>
      </c>
      <c r="AV155" s="136">
        <v>56.4</v>
      </c>
      <c r="AW155" s="250">
        <f t="shared" si="37"/>
        <v>-4.0816326530612179E-2</v>
      </c>
      <c r="AX155" s="251"/>
      <c r="AY155" s="253">
        <v>44256</v>
      </c>
      <c r="AZ155" s="252">
        <v>3824.68</v>
      </c>
      <c r="BA155" s="250">
        <f t="shared" si="38"/>
        <v>1.8266432734214133E-2</v>
      </c>
    </row>
    <row r="156" spans="3:53" ht="14.25" customHeight="1" x14ac:dyDescent="0.35">
      <c r="C156" s="248" t="s">
        <v>395</v>
      </c>
      <c r="D156" s="249">
        <v>148.30000000000001</v>
      </c>
      <c r="E156" s="250">
        <f t="shared" si="26"/>
        <v>2.2335585275058634E-2</v>
      </c>
      <c r="G156" s="248" t="s">
        <v>395</v>
      </c>
      <c r="H156" s="136">
        <v>54.84</v>
      </c>
      <c r="I156" s="250">
        <f t="shared" si="27"/>
        <v>2.6197604790419327E-2</v>
      </c>
      <c r="K156" s="248" t="s">
        <v>395</v>
      </c>
      <c r="L156" s="136">
        <v>32</v>
      </c>
      <c r="M156" s="250">
        <f t="shared" si="28"/>
        <v>3.7641154328733606E-3</v>
      </c>
      <c r="O156" s="248" t="s">
        <v>395</v>
      </c>
      <c r="P156" s="136">
        <v>46.24</v>
      </c>
      <c r="Q156" s="250">
        <f t="shared" si="29"/>
        <v>2.9614785125807286E-2</v>
      </c>
      <c r="R156" s="251"/>
      <c r="S156" s="248" t="s">
        <v>395</v>
      </c>
      <c r="T156" s="136">
        <v>46.61</v>
      </c>
      <c r="U156" s="250">
        <f t="shared" si="30"/>
        <v>-1.1871952512189976E-2</v>
      </c>
      <c r="V156" s="251"/>
      <c r="W156" s="248" t="s">
        <v>395</v>
      </c>
      <c r="X156" s="136">
        <v>62.23</v>
      </c>
      <c r="Y156" s="250">
        <f t="shared" si="31"/>
        <v>7.2839106506958906E-3</v>
      </c>
      <c r="Z156" s="251"/>
      <c r="AA156" s="248" t="s">
        <v>395</v>
      </c>
      <c r="AB156" s="136">
        <v>34.659999999999997</v>
      </c>
      <c r="AC156" s="250">
        <f t="shared" si="32"/>
        <v>-9.1480846197827814E-3</v>
      </c>
      <c r="AD156" s="251"/>
      <c r="AE156" s="248" t="s">
        <v>395</v>
      </c>
      <c r="AF156" s="136">
        <v>58.47</v>
      </c>
      <c r="AG156" s="250">
        <f t="shared" si="33"/>
        <v>1.0717372515125279E-2</v>
      </c>
      <c r="AH156" s="251"/>
      <c r="AI156" s="248" t="s">
        <v>395</v>
      </c>
      <c r="AJ156" s="136">
        <v>152.33000000000001</v>
      </c>
      <c r="AK156" s="250">
        <f t="shared" si="34"/>
        <v>1.5871957319106622E-2</v>
      </c>
      <c r="AL156" s="251"/>
      <c r="AM156" s="248" t="s">
        <v>395</v>
      </c>
      <c r="AN156" s="136">
        <v>48.35</v>
      </c>
      <c r="AO156" s="250">
        <f t="shared" si="35"/>
        <v>-4.1194644696188609E-3</v>
      </c>
      <c r="AP156" s="251"/>
      <c r="AQ156" s="248" t="s">
        <v>395</v>
      </c>
      <c r="AR156" s="136">
        <v>219.05</v>
      </c>
      <c r="AS156" s="250">
        <f t="shared" si="36"/>
        <v>1.5013206060886963E-2</v>
      </c>
      <c r="AT156" s="251"/>
      <c r="AU156" s="248" t="s">
        <v>395</v>
      </c>
      <c r="AV156" s="136">
        <v>58.8</v>
      </c>
      <c r="AW156" s="250">
        <f t="shared" si="37"/>
        <v>-5.5809233891426224E-3</v>
      </c>
      <c r="AX156" s="251"/>
      <c r="AY156" s="248" t="s">
        <v>395</v>
      </c>
      <c r="AZ156" s="252">
        <v>3756.07</v>
      </c>
      <c r="BA156" s="250">
        <f t="shared" si="38"/>
        <v>1.4315187979671018E-2</v>
      </c>
    </row>
    <row r="157" spans="3:53" ht="14.25" customHeight="1" x14ac:dyDescent="0.35">
      <c r="C157" s="248" t="s">
        <v>396</v>
      </c>
      <c r="D157" s="249">
        <v>145.06</v>
      </c>
      <c r="E157" s="250">
        <f t="shared" si="26"/>
        <v>-1.2727148982508707E-2</v>
      </c>
      <c r="G157" s="248" t="s">
        <v>396</v>
      </c>
      <c r="H157" s="136">
        <v>53.44</v>
      </c>
      <c r="I157" s="250">
        <f t="shared" si="27"/>
        <v>-5.5824339411983948E-3</v>
      </c>
      <c r="K157" s="248" t="s">
        <v>396</v>
      </c>
      <c r="L157" s="136">
        <v>31.88</v>
      </c>
      <c r="M157" s="250">
        <f t="shared" si="28"/>
        <v>3.0714516650501178E-2</v>
      </c>
      <c r="O157" s="248" t="s">
        <v>396</v>
      </c>
      <c r="P157" s="136">
        <v>44.91</v>
      </c>
      <c r="Q157" s="250">
        <f t="shared" si="29"/>
        <v>-3.3288948069242208E-3</v>
      </c>
      <c r="R157" s="251"/>
      <c r="S157" s="248" t="s">
        <v>396</v>
      </c>
      <c r="T157" s="136">
        <v>47.17</v>
      </c>
      <c r="U157" s="250">
        <f t="shared" si="30"/>
        <v>-1.606174384647463E-2</v>
      </c>
      <c r="V157" s="251"/>
      <c r="W157" s="248" t="s">
        <v>396</v>
      </c>
      <c r="X157" s="136">
        <v>61.78</v>
      </c>
      <c r="Y157" s="250">
        <f t="shared" si="31"/>
        <v>-4.8324742268041065E-3</v>
      </c>
      <c r="Z157" s="251"/>
      <c r="AA157" s="248" t="s">
        <v>396</v>
      </c>
      <c r="AB157" s="136">
        <v>34.979999999999997</v>
      </c>
      <c r="AC157" s="250">
        <f t="shared" si="32"/>
        <v>6.0396893874028468E-3</v>
      </c>
      <c r="AD157" s="251"/>
      <c r="AE157" s="248" t="s">
        <v>396</v>
      </c>
      <c r="AF157" s="136">
        <v>57.85</v>
      </c>
      <c r="AG157" s="250">
        <f t="shared" si="33"/>
        <v>-8.0589849108367861E-3</v>
      </c>
      <c r="AH157" s="251"/>
      <c r="AI157" s="248" t="s">
        <v>396</v>
      </c>
      <c r="AJ157" s="136">
        <v>149.94999999999999</v>
      </c>
      <c r="AK157" s="250">
        <f t="shared" si="34"/>
        <v>-6.1638388123012033E-3</v>
      </c>
      <c r="AL157" s="251"/>
      <c r="AM157" s="248" t="s">
        <v>396</v>
      </c>
      <c r="AN157" s="136">
        <v>48.55</v>
      </c>
      <c r="AO157" s="250">
        <f t="shared" si="35"/>
        <v>2.0601219255833358E-2</v>
      </c>
      <c r="AP157" s="251"/>
      <c r="AQ157" s="248" t="s">
        <v>396</v>
      </c>
      <c r="AR157" s="136">
        <v>215.81</v>
      </c>
      <c r="AS157" s="250">
        <f t="shared" si="36"/>
        <v>-1.3124199743918097E-2</v>
      </c>
      <c r="AT157" s="251"/>
      <c r="AU157" s="248" t="s">
        <v>396</v>
      </c>
      <c r="AV157" s="136">
        <v>59.13</v>
      </c>
      <c r="AW157" s="250">
        <f t="shared" si="37"/>
        <v>-4.5454545454545192E-3</v>
      </c>
      <c r="AX157" s="251"/>
      <c r="AY157" s="248" t="s">
        <v>396</v>
      </c>
      <c r="AZ157" s="252">
        <v>3703.06</v>
      </c>
      <c r="BA157" s="250">
        <f t="shared" si="38"/>
        <v>-1.7118625333947257E-3</v>
      </c>
    </row>
    <row r="158" spans="3:53" ht="14.25" customHeight="1" x14ac:dyDescent="0.35">
      <c r="C158" s="248" t="s">
        <v>397</v>
      </c>
      <c r="D158" s="249">
        <v>146.93</v>
      </c>
      <c r="E158" s="250">
        <f t="shared" si="26"/>
        <v>1.3520038628681785E-2</v>
      </c>
      <c r="G158" s="248" t="s">
        <v>397</v>
      </c>
      <c r="H158" s="136">
        <v>53.74</v>
      </c>
      <c r="I158" s="250">
        <f t="shared" si="27"/>
        <v>7.3102155576383332E-3</v>
      </c>
      <c r="K158" s="248" t="s">
        <v>397</v>
      </c>
      <c r="L158" s="136">
        <v>30.93</v>
      </c>
      <c r="M158" s="250">
        <f t="shared" si="28"/>
        <v>1.8774703557312256E-2</v>
      </c>
      <c r="O158" s="248" t="s">
        <v>397</v>
      </c>
      <c r="P158" s="136">
        <v>45.06</v>
      </c>
      <c r="Q158" s="250">
        <f t="shared" si="29"/>
        <v>2.3858214042263182E-2</v>
      </c>
      <c r="R158" s="251"/>
      <c r="S158" s="248" t="s">
        <v>397</v>
      </c>
      <c r="T158" s="136">
        <v>47.94</v>
      </c>
      <c r="U158" s="250">
        <f t="shared" si="30"/>
        <v>1.5677966101694807E-2</v>
      </c>
      <c r="V158" s="251"/>
      <c r="W158" s="248" t="s">
        <v>397</v>
      </c>
      <c r="X158" s="136">
        <v>62.08</v>
      </c>
      <c r="Y158" s="250">
        <f t="shared" si="31"/>
        <v>-4.8301400740624612E-4</v>
      </c>
      <c r="Z158" s="251"/>
      <c r="AA158" s="248" t="s">
        <v>397</v>
      </c>
      <c r="AB158" s="136">
        <v>34.770000000000003</v>
      </c>
      <c r="AC158" s="250">
        <f t="shared" si="32"/>
        <v>2.0545934840035196E-2</v>
      </c>
      <c r="AD158" s="251"/>
      <c r="AE158" s="248" t="s">
        <v>397</v>
      </c>
      <c r="AF158" s="136">
        <v>58.32</v>
      </c>
      <c r="AG158" s="250">
        <f t="shared" si="33"/>
        <v>1.6027874564459976E-2</v>
      </c>
      <c r="AH158" s="251"/>
      <c r="AI158" s="248" t="s">
        <v>397</v>
      </c>
      <c r="AJ158" s="136">
        <v>150.88</v>
      </c>
      <c r="AK158" s="250">
        <f t="shared" si="34"/>
        <v>1.1870431225269762E-2</v>
      </c>
      <c r="AL158" s="251"/>
      <c r="AM158" s="248" t="s">
        <v>397</v>
      </c>
      <c r="AN158" s="136">
        <v>47.57</v>
      </c>
      <c r="AO158" s="250">
        <f t="shared" si="35"/>
        <v>7.6255030713832106E-3</v>
      </c>
      <c r="AP158" s="251"/>
      <c r="AQ158" s="248" t="s">
        <v>397</v>
      </c>
      <c r="AR158" s="136">
        <v>218.68</v>
      </c>
      <c r="AS158" s="250">
        <f t="shared" si="36"/>
        <v>6.5224803935895581E-2</v>
      </c>
      <c r="AT158" s="251"/>
      <c r="AU158" s="248" t="s">
        <v>397</v>
      </c>
      <c r="AV158" s="136">
        <v>59.4</v>
      </c>
      <c r="AW158" s="250">
        <f t="shared" si="37"/>
        <v>1.3486176668913163E-3</v>
      </c>
      <c r="AX158" s="251"/>
      <c r="AY158" s="248" t="s">
        <v>397</v>
      </c>
      <c r="AZ158" s="252">
        <v>3709.41</v>
      </c>
      <c r="BA158" s="250">
        <f t="shared" si="38"/>
        <v>1.2542787419543178E-2</v>
      </c>
    </row>
    <row r="159" spans="3:53" ht="14.25" customHeight="1" x14ac:dyDescent="0.35">
      <c r="C159" s="253">
        <v>43994</v>
      </c>
      <c r="D159" s="249">
        <v>144.97</v>
      </c>
      <c r="E159" s="250">
        <f t="shared" si="26"/>
        <v>-6.0335961604387478E-3</v>
      </c>
      <c r="G159" s="253">
        <v>43994</v>
      </c>
      <c r="H159" s="136">
        <v>53.35</v>
      </c>
      <c r="I159" s="250">
        <f t="shared" si="27"/>
        <v>-9.2850510677808806E-3</v>
      </c>
      <c r="K159" s="253">
        <v>43994</v>
      </c>
      <c r="L159" s="136">
        <v>30.36</v>
      </c>
      <c r="M159" s="250">
        <f t="shared" si="28"/>
        <v>-5.568293481821196E-3</v>
      </c>
      <c r="O159" s="253">
        <v>43994</v>
      </c>
      <c r="P159" s="136">
        <v>44.01</v>
      </c>
      <c r="Q159" s="250">
        <f t="shared" si="29"/>
        <v>6.6331198536138114E-3</v>
      </c>
      <c r="R159" s="251"/>
      <c r="S159" s="253">
        <v>43994</v>
      </c>
      <c r="T159" s="136">
        <v>47.2</v>
      </c>
      <c r="U159" s="250">
        <f t="shared" si="30"/>
        <v>-3.7990713381172991E-3</v>
      </c>
      <c r="V159" s="251"/>
      <c r="W159" s="253">
        <v>43994</v>
      </c>
      <c r="X159" s="136">
        <v>62.11</v>
      </c>
      <c r="Y159" s="250">
        <f t="shared" si="31"/>
        <v>-4.1686708353374513E-3</v>
      </c>
      <c r="Z159" s="251"/>
      <c r="AA159" s="253">
        <v>43994</v>
      </c>
      <c r="AB159" s="136">
        <v>34.07</v>
      </c>
      <c r="AC159" s="250">
        <f t="shared" si="32"/>
        <v>-1.4654161781945119E-3</v>
      </c>
      <c r="AD159" s="251"/>
      <c r="AE159" s="253">
        <v>43994</v>
      </c>
      <c r="AF159" s="136">
        <v>57.4</v>
      </c>
      <c r="AG159" s="250">
        <f t="shared" si="33"/>
        <v>-2.7613078095883536E-2</v>
      </c>
      <c r="AH159" s="251"/>
      <c r="AI159" s="253">
        <v>43994</v>
      </c>
      <c r="AJ159" s="136">
        <v>149.11000000000001</v>
      </c>
      <c r="AK159" s="250">
        <f t="shared" si="34"/>
        <v>-1.1665672433220586E-2</v>
      </c>
      <c r="AL159" s="251"/>
      <c r="AM159" s="253">
        <v>43994</v>
      </c>
      <c r="AN159" s="136">
        <v>47.21</v>
      </c>
      <c r="AO159" s="250">
        <f t="shared" si="35"/>
        <v>-2.6597938144329869E-2</v>
      </c>
      <c r="AP159" s="251"/>
      <c r="AQ159" s="253">
        <v>43994</v>
      </c>
      <c r="AR159" s="136">
        <v>205.29</v>
      </c>
      <c r="AS159" s="250">
        <f t="shared" si="36"/>
        <v>-3.9758641657701488E-2</v>
      </c>
      <c r="AT159" s="251"/>
      <c r="AU159" s="253">
        <v>43994</v>
      </c>
      <c r="AV159" s="136">
        <v>59.32</v>
      </c>
      <c r="AW159" s="250">
        <f t="shared" si="37"/>
        <v>-1.8530774321641297E-2</v>
      </c>
      <c r="AX159" s="251"/>
      <c r="AY159" s="253">
        <v>43994</v>
      </c>
      <c r="AZ159" s="252">
        <v>3663.46</v>
      </c>
      <c r="BA159" s="250">
        <f t="shared" si="38"/>
        <v>-9.6401306256622687E-3</v>
      </c>
    </row>
    <row r="160" spans="3:53" ht="14.25" customHeight="1" x14ac:dyDescent="0.35">
      <c r="C160" s="248" t="s">
        <v>398</v>
      </c>
      <c r="D160" s="249">
        <v>145.85</v>
      </c>
      <c r="E160" s="250">
        <f t="shared" si="26"/>
        <v>8.6445366528353773E-3</v>
      </c>
      <c r="G160" s="248" t="s">
        <v>398</v>
      </c>
      <c r="H160" s="136">
        <v>53.85</v>
      </c>
      <c r="I160" s="250">
        <f t="shared" si="27"/>
        <v>2.182163187855779E-2</v>
      </c>
      <c r="K160" s="248" t="s">
        <v>398</v>
      </c>
      <c r="L160" s="136">
        <v>30.53</v>
      </c>
      <c r="M160" s="250">
        <f t="shared" si="28"/>
        <v>-7.4772431729519528E-3</v>
      </c>
      <c r="O160" s="248" t="s">
        <v>398</v>
      </c>
      <c r="P160" s="136">
        <v>43.72</v>
      </c>
      <c r="Q160" s="250">
        <f t="shared" si="29"/>
        <v>3.8973384030418279E-2</v>
      </c>
      <c r="R160" s="251"/>
      <c r="S160" s="248" t="s">
        <v>398</v>
      </c>
      <c r="T160" s="136">
        <v>47.38</v>
      </c>
      <c r="U160" s="250">
        <f t="shared" si="30"/>
        <v>3.8135593220338659E-3</v>
      </c>
      <c r="V160" s="251"/>
      <c r="W160" s="248" t="s">
        <v>398</v>
      </c>
      <c r="X160" s="136">
        <v>62.37</v>
      </c>
      <c r="Y160" s="250">
        <f t="shared" si="31"/>
        <v>-1.7485822306238186E-2</v>
      </c>
      <c r="Z160" s="251"/>
      <c r="AA160" s="248" t="s">
        <v>398</v>
      </c>
      <c r="AB160" s="136">
        <v>34.119999999999997</v>
      </c>
      <c r="AC160" s="250">
        <f t="shared" si="32"/>
        <v>3.8976857490864658E-2</v>
      </c>
      <c r="AD160" s="251"/>
      <c r="AE160" s="248" t="s">
        <v>398</v>
      </c>
      <c r="AF160" s="136">
        <v>59.03</v>
      </c>
      <c r="AG160" s="250">
        <f t="shared" si="33"/>
        <v>2.7323355377653957E-2</v>
      </c>
      <c r="AH160" s="251"/>
      <c r="AI160" s="248" t="s">
        <v>398</v>
      </c>
      <c r="AJ160" s="136">
        <v>150.87</v>
      </c>
      <c r="AK160" s="250">
        <f t="shared" si="34"/>
        <v>1.904761904761898E-2</v>
      </c>
      <c r="AL160" s="251"/>
      <c r="AM160" s="248" t="s">
        <v>398</v>
      </c>
      <c r="AN160" s="136">
        <v>48.5</v>
      </c>
      <c r="AO160" s="250">
        <f t="shared" si="35"/>
        <v>-9.7999183340138352E-3</v>
      </c>
      <c r="AP160" s="251"/>
      <c r="AQ160" s="248" t="s">
        <v>398</v>
      </c>
      <c r="AR160" s="136">
        <v>213.79</v>
      </c>
      <c r="AS160" s="250">
        <f t="shared" si="36"/>
        <v>4.3845515355695364E-2</v>
      </c>
      <c r="AT160" s="251"/>
      <c r="AU160" s="248" t="s">
        <v>398</v>
      </c>
      <c r="AV160" s="136">
        <v>60.44</v>
      </c>
      <c r="AW160" s="250">
        <f t="shared" si="37"/>
        <v>5.155496424413597E-3</v>
      </c>
      <c r="AX160" s="251"/>
      <c r="AY160" s="248" t="s">
        <v>398</v>
      </c>
      <c r="AZ160" s="252">
        <v>3699.12</v>
      </c>
      <c r="BA160" s="250">
        <f t="shared" si="38"/>
        <v>1.6702626190443493E-2</v>
      </c>
    </row>
    <row r="161" spans="3:53" ht="14.25" customHeight="1" x14ac:dyDescent="0.35">
      <c r="C161" s="248" t="s">
        <v>399</v>
      </c>
      <c r="D161" s="249">
        <v>144.6</v>
      </c>
      <c r="E161" s="250">
        <f t="shared" si="26"/>
        <v>8.2275833217124728E-3</v>
      </c>
      <c r="G161" s="248" t="s">
        <v>399</v>
      </c>
      <c r="H161" s="136">
        <v>52.7</v>
      </c>
      <c r="I161" s="250">
        <f t="shared" si="27"/>
        <v>5.6958420353137029E-4</v>
      </c>
      <c r="K161" s="248" t="s">
        <v>399</v>
      </c>
      <c r="L161" s="136">
        <v>30.76</v>
      </c>
      <c r="M161" s="250">
        <f t="shared" si="28"/>
        <v>3.1176667784110101E-2</v>
      </c>
      <c r="O161" s="248" t="s">
        <v>399</v>
      </c>
      <c r="P161" s="136">
        <v>42.08</v>
      </c>
      <c r="Q161" s="250">
        <f t="shared" si="29"/>
        <v>7.6628352490422103E-3</v>
      </c>
      <c r="R161" s="251"/>
      <c r="S161" s="248" t="s">
        <v>399</v>
      </c>
      <c r="T161" s="136">
        <v>47.2</v>
      </c>
      <c r="U161" s="250">
        <f t="shared" si="30"/>
        <v>-5.8448035108717322E-2</v>
      </c>
      <c r="V161" s="251"/>
      <c r="W161" s="248" t="s">
        <v>399</v>
      </c>
      <c r="X161" s="136">
        <v>63.48</v>
      </c>
      <c r="Y161" s="250">
        <f t="shared" si="31"/>
        <v>-2.3534840793724143E-2</v>
      </c>
      <c r="Z161" s="251"/>
      <c r="AA161" s="248" t="s">
        <v>399</v>
      </c>
      <c r="AB161" s="136">
        <v>32.840000000000003</v>
      </c>
      <c r="AC161" s="250">
        <f t="shared" si="32"/>
        <v>1.7978921264724335E-2</v>
      </c>
      <c r="AD161" s="251"/>
      <c r="AE161" s="248" t="s">
        <v>399</v>
      </c>
      <c r="AF161" s="136">
        <v>57.46</v>
      </c>
      <c r="AG161" s="250">
        <f t="shared" si="33"/>
        <v>5.6002800140007025E-3</v>
      </c>
      <c r="AH161" s="251"/>
      <c r="AI161" s="248" t="s">
        <v>399</v>
      </c>
      <c r="AJ161" s="136">
        <v>148.05000000000001</v>
      </c>
      <c r="AK161" s="250">
        <f t="shared" si="34"/>
        <v>1.8270401948843329E-3</v>
      </c>
      <c r="AL161" s="251"/>
      <c r="AM161" s="248" t="s">
        <v>399</v>
      </c>
      <c r="AN161" s="136">
        <v>48.98</v>
      </c>
      <c r="AO161" s="250">
        <f t="shared" si="35"/>
        <v>0</v>
      </c>
      <c r="AP161" s="251"/>
      <c r="AQ161" s="248" t="s">
        <v>399</v>
      </c>
      <c r="AR161" s="136">
        <v>204.81</v>
      </c>
      <c r="AS161" s="250">
        <f t="shared" si="36"/>
        <v>2.113975170763327E-2</v>
      </c>
      <c r="AT161" s="251"/>
      <c r="AU161" s="248" t="s">
        <v>399</v>
      </c>
      <c r="AV161" s="136">
        <v>60.13</v>
      </c>
      <c r="AW161" s="250">
        <f t="shared" si="37"/>
        <v>-2.0045632333767882E-2</v>
      </c>
      <c r="AX161" s="251"/>
      <c r="AY161" s="248" t="s">
        <v>399</v>
      </c>
      <c r="AZ161" s="252">
        <v>3638.35</v>
      </c>
      <c r="BA161" s="250">
        <f t="shared" si="38"/>
        <v>2.2715134615492794E-2</v>
      </c>
    </row>
    <row r="162" spans="3:53" ht="14.25" customHeight="1" x14ac:dyDescent="0.35">
      <c r="C162" s="248" t="s">
        <v>400</v>
      </c>
      <c r="D162" s="249">
        <v>143.41999999999999</v>
      </c>
      <c r="E162" s="250">
        <f t="shared" si="26"/>
        <v>-8.9143804851082864E-3</v>
      </c>
      <c r="G162" s="248" t="s">
        <v>400</v>
      </c>
      <c r="H162" s="136">
        <v>52.67</v>
      </c>
      <c r="I162" s="250">
        <f t="shared" si="27"/>
        <v>-1.4593077642656715E-2</v>
      </c>
      <c r="K162" s="248" t="s">
        <v>400</v>
      </c>
      <c r="L162" s="136">
        <v>29.83</v>
      </c>
      <c r="M162" s="250">
        <f t="shared" si="28"/>
        <v>1.8088737201365168E-2</v>
      </c>
      <c r="O162" s="248" t="s">
        <v>400</v>
      </c>
      <c r="P162" s="136">
        <v>41.76</v>
      </c>
      <c r="Q162" s="250">
        <f t="shared" si="29"/>
        <v>-5.9509640561771215E-3</v>
      </c>
      <c r="R162" s="251"/>
      <c r="S162" s="248" t="s">
        <v>400</v>
      </c>
      <c r="T162" s="136">
        <v>50.13</v>
      </c>
      <c r="U162" s="250">
        <f t="shared" si="30"/>
        <v>-3.8734419942473508E-2</v>
      </c>
      <c r="V162" s="251"/>
      <c r="W162" s="248" t="s">
        <v>400</v>
      </c>
      <c r="X162" s="136">
        <v>65.010000000000005</v>
      </c>
      <c r="Y162" s="250">
        <f t="shared" si="31"/>
        <v>-1.1405109489051046E-2</v>
      </c>
      <c r="Z162" s="251"/>
      <c r="AA162" s="248" t="s">
        <v>400</v>
      </c>
      <c r="AB162" s="136">
        <v>32.26</v>
      </c>
      <c r="AC162" s="250">
        <f t="shared" si="32"/>
        <v>2.0563112938943418E-2</v>
      </c>
      <c r="AD162" s="251"/>
      <c r="AE162" s="248" t="s">
        <v>400</v>
      </c>
      <c r="AF162" s="136">
        <v>57.14</v>
      </c>
      <c r="AG162" s="250">
        <f t="shared" si="33"/>
        <v>-1.5845676885980042E-2</v>
      </c>
      <c r="AH162" s="251"/>
      <c r="AI162" s="248" t="s">
        <v>400</v>
      </c>
      <c r="AJ162" s="136">
        <v>147.78</v>
      </c>
      <c r="AK162" s="250">
        <f t="shared" si="34"/>
        <v>-4.038961038961042E-2</v>
      </c>
      <c r="AL162" s="251"/>
      <c r="AM162" s="248" t="s">
        <v>400</v>
      </c>
      <c r="AN162" s="136">
        <v>48.98</v>
      </c>
      <c r="AO162" s="250">
        <f t="shared" si="35"/>
        <v>-4.2691603984550408E-3</v>
      </c>
      <c r="AP162" s="251"/>
      <c r="AQ162" s="248" t="s">
        <v>400</v>
      </c>
      <c r="AR162" s="136">
        <v>200.57</v>
      </c>
      <c r="AS162" s="250">
        <f t="shared" si="36"/>
        <v>-7.1283599821790888E-3</v>
      </c>
      <c r="AT162" s="251"/>
      <c r="AU162" s="248" t="s">
        <v>400</v>
      </c>
      <c r="AV162" s="136">
        <v>61.36</v>
      </c>
      <c r="AW162" s="250">
        <f t="shared" si="37"/>
        <v>6.3965884861407751E-3</v>
      </c>
      <c r="AX162" s="251"/>
      <c r="AY162" s="248" t="s">
        <v>400</v>
      </c>
      <c r="AZ162" s="252">
        <v>3557.54</v>
      </c>
      <c r="BA162" s="250">
        <f t="shared" si="38"/>
        <v>-7.7012119437123161E-3</v>
      </c>
    </row>
    <row r="163" spans="3:53" ht="14.25" customHeight="1" x14ac:dyDescent="0.35">
      <c r="C163" s="253">
        <v>44054</v>
      </c>
      <c r="D163" s="249">
        <v>144.71</v>
      </c>
      <c r="E163" s="250">
        <f t="shared" si="26"/>
        <v>4.5743604567134E-2</v>
      </c>
      <c r="G163" s="253">
        <v>44054</v>
      </c>
      <c r="H163" s="136">
        <v>53.45</v>
      </c>
      <c r="I163" s="250">
        <f t="shared" si="27"/>
        <v>8.0889787664307322E-2</v>
      </c>
      <c r="K163" s="253">
        <v>44054</v>
      </c>
      <c r="L163" s="136">
        <v>29.3</v>
      </c>
      <c r="M163" s="250">
        <f t="shared" si="28"/>
        <v>2.2330774598743997E-2</v>
      </c>
      <c r="O163" s="253">
        <v>44054</v>
      </c>
      <c r="P163" s="136">
        <v>42.01</v>
      </c>
      <c r="Q163" s="250">
        <f t="shared" si="29"/>
        <v>9.1280326687483981E-3</v>
      </c>
      <c r="R163" s="251"/>
      <c r="S163" s="253">
        <v>44054</v>
      </c>
      <c r="T163" s="136">
        <v>52.15</v>
      </c>
      <c r="U163" s="250">
        <f t="shared" si="30"/>
        <v>4.5090180360721543E-2</v>
      </c>
      <c r="V163" s="251"/>
      <c r="W163" s="253">
        <v>44054</v>
      </c>
      <c r="X163" s="136">
        <v>65.760000000000005</v>
      </c>
      <c r="Y163" s="250">
        <f t="shared" si="31"/>
        <v>2.1911421911422035E-2</v>
      </c>
      <c r="Z163" s="251"/>
      <c r="AA163" s="253">
        <v>44054</v>
      </c>
      <c r="AB163" s="136">
        <v>31.61</v>
      </c>
      <c r="AC163" s="250">
        <f t="shared" si="32"/>
        <v>2.2194039315155401E-3</v>
      </c>
      <c r="AD163" s="251"/>
      <c r="AE163" s="253">
        <v>44054</v>
      </c>
      <c r="AF163" s="136">
        <v>58.06</v>
      </c>
      <c r="AG163" s="250">
        <f t="shared" si="33"/>
        <v>3.9756446991404015E-2</v>
      </c>
      <c r="AH163" s="251"/>
      <c r="AI163" s="253">
        <v>44054</v>
      </c>
      <c r="AJ163" s="136">
        <v>154</v>
      </c>
      <c r="AK163" s="250">
        <f t="shared" si="34"/>
        <v>3.0789825970548801E-2</v>
      </c>
      <c r="AL163" s="251"/>
      <c r="AM163" s="253">
        <v>44054</v>
      </c>
      <c r="AN163" s="136">
        <v>49.19</v>
      </c>
      <c r="AO163" s="250">
        <f t="shared" si="35"/>
        <v>2.5005209418628827E-2</v>
      </c>
      <c r="AP163" s="251"/>
      <c r="AQ163" s="253">
        <v>44054</v>
      </c>
      <c r="AR163" s="136">
        <v>202.01</v>
      </c>
      <c r="AS163" s="250">
        <f t="shared" si="36"/>
        <v>8.7361395198622072E-2</v>
      </c>
      <c r="AT163" s="251"/>
      <c r="AU163" s="253">
        <v>44054</v>
      </c>
      <c r="AV163" s="136">
        <v>60.97</v>
      </c>
      <c r="AW163" s="250">
        <f t="shared" si="37"/>
        <v>-1.63746520386443E-3</v>
      </c>
      <c r="AX163" s="251"/>
      <c r="AY163" s="253">
        <v>44054</v>
      </c>
      <c r="AZ163" s="252">
        <v>3585.15</v>
      </c>
      <c r="BA163" s="250">
        <f t="shared" si="38"/>
        <v>2.1573242454636654E-2</v>
      </c>
    </row>
    <row r="164" spans="3:53" ht="14.25" customHeight="1" x14ac:dyDescent="0.35">
      <c r="C164" s="253">
        <v>43841</v>
      </c>
      <c r="D164" s="249">
        <v>138.38</v>
      </c>
      <c r="E164" s="250">
        <f t="shared" si="26"/>
        <v>3.8187410908545383E-2</v>
      </c>
      <c r="G164" s="253">
        <v>43841</v>
      </c>
      <c r="H164" s="136">
        <v>49.45</v>
      </c>
      <c r="I164" s="250">
        <f t="shared" si="27"/>
        <v>2.89221806075739E-2</v>
      </c>
      <c r="K164" s="253">
        <v>43841</v>
      </c>
      <c r="L164" s="136">
        <v>28.66</v>
      </c>
      <c r="M164" s="250">
        <f t="shared" si="28"/>
        <v>6.5427509293680464E-2</v>
      </c>
      <c r="O164" s="253">
        <v>43841</v>
      </c>
      <c r="P164" s="136">
        <v>41.63</v>
      </c>
      <c r="Q164" s="250">
        <f t="shared" si="29"/>
        <v>8.7513061650992707E-2</v>
      </c>
      <c r="R164" s="251"/>
      <c r="S164" s="253">
        <v>43841</v>
      </c>
      <c r="T164" s="136">
        <v>49.9</v>
      </c>
      <c r="U164" s="250">
        <f t="shared" si="30"/>
        <v>2.4851098788252202E-2</v>
      </c>
      <c r="V164" s="251"/>
      <c r="W164" s="253">
        <v>43841</v>
      </c>
      <c r="X164" s="136">
        <v>64.349999999999994</v>
      </c>
      <c r="Y164" s="250">
        <f t="shared" si="31"/>
        <v>2.3215137541739539E-2</v>
      </c>
      <c r="Z164" s="251"/>
      <c r="AA164" s="253">
        <v>43841</v>
      </c>
      <c r="AB164" s="136">
        <v>31.54</v>
      </c>
      <c r="AC164" s="250">
        <f t="shared" si="32"/>
        <v>3.105590062111796E-2</v>
      </c>
      <c r="AD164" s="251"/>
      <c r="AE164" s="253">
        <v>43841</v>
      </c>
      <c r="AF164" s="136">
        <v>55.84</v>
      </c>
      <c r="AG164" s="250">
        <f t="shared" si="33"/>
        <v>5.1204819277108626E-2</v>
      </c>
      <c r="AH164" s="251"/>
      <c r="AI164" s="253">
        <v>43841</v>
      </c>
      <c r="AJ164" s="136">
        <v>149.4</v>
      </c>
      <c r="AK164" s="250">
        <f t="shared" si="34"/>
        <v>8.6861632474901862E-2</v>
      </c>
      <c r="AL164" s="251"/>
      <c r="AM164" s="253">
        <v>43841</v>
      </c>
      <c r="AN164" s="136">
        <v>47.99</v>
      </c>
      <c r="AO164" s="250">
        <f t="shared" si="35"/>
        <v>2.8283694021855599E-2</v>
      </c>
      <c r="AP164" s="251"/>
      <c r="AQ164" s="253">
        <v>43841</v>
      </c>
      <c r="AR164" s="136">
        <v>185.78</v>
      </c>
      <c r="AS164" s="250">
        <f t="shared" si="36"/>
        <v>0.1243720873933305</v>
      </c>
      <c r="AT164" s="251"/>
      <c r="AU164" s="253">
        <v>43841</v>
      </c>
      <c r="AV164" s="136">
        <v>61.07</v>
      </c>
      <c r="AW164" s="250">
        <f t="shared" si="37"/>
        <v>3.298376184032481E-2</v>
      </c>
      <c r="AX164" s="251"/>
      <c r="AY164" s="253">
        <v>43841</v>
      </c>
      <c r="AZ164" s="252">
        <v>3509.44</v>
      </c>
      <c r="BA164" s="250">
        <f t="shared" si="38"/>
        <v>7.3236369863851625E-2</v>
      </c>
    </row>
    <row r="165" spans="3:53" ht="14.25" customHeight="1" x14ac:dyDescent="0.35">
      <c r="C165" s="248" t="s">
        <v>401</v>
      </c>
      <c r="D165" s="249">
        <v>133.29</v>
      </c>
      <c r="E165" s="250">
        <f t="shared" si="26"/>
        <v>-4.492691315563202E-2</v>
      </c>
      <c r="G165" s="248" t="s">
        <v>401</v>
      </c>
      <c r="H165" s="136">
        <v>48.06</v>
      </c>
      <c r="I165" s="250">
        <f t="shared" si="27"/>
        <v>-4.8693586698337343E-2</v>
      </c>
      <c r="K165" s="248" t="s">
        <v>401</v>
      </c>
      <c r="L165" s="136">
        <v>26.9</v>
      </c>
      <c r="M165" s="250">
        <f t="shared" si="28"/>
        <v>-7.9082505991099006E-2</v>
      </c>
      <c r="O165" s="248" t="s">
        <v>401</v>
      </c>
      <c r="P165" s="136">
        <v>38.28</v>
      </c>
      <c r="Q165" s="250">
        <f t="shared" si="29"/>
        <v>-4.7761194029850795E-2</v>
      </c>
      <c r="R165" s="251"/>
      <c r="S165" s="248" t="s">
        <v>401</v>
      </c>
      <c r="T165" s="136">
        <v>48.69</v>
      </c>
      <c r="U165" s="250">
        <f t="shared" si="30"/>
        <v>-1.8544648256400009E-2</v>
      </c>
      <c r="V165" s="251"/>
      <c r="W165" s="248" t="s">
        <v>401</v>
      </c>
      <c r="X165" s="136">
        <v>62.89</v>
      </c>
      <c r="Y165" s="250">
        <f t="shared" si="31"/>
        <v>-5.7968843618933508E-2</v>
      </c>
      <c r="Z165" s="251"/>
      <c r="AA165" s="248" t="s">
        <v>401</v>
      </c>
      <c r="AB165" s="136">
        <v>30.59</v>
      </c>
      <c r="AC165" s="250">
        <f t="shared" si="32"/>
        <v>-2.4864520242269705E-2</v>
      </c>
      <c r="AD165" s="251"/>
      <c r="AE165" s="248" t="s">
        <v>401</v>
      </c>
      <c r="AF165" s="136">
        <v>53.12</v>
      </c>
      <c r="AG165" s="250">
        <f t="shared" si="33"/>
        <v>-6.1649885179296926E-2</v>
      </c>
      <c r="AH165" s="251"/>
      <c r="AI165" s="248" t="s">
        <v>401</v>
      </c>
      <c r="AJ165" s="136">
        <v>137.46</v>
      </c>
      <c r="AK165" s="250">
        <f t="shared" si="34"/>
        <v>-6.0680606806068016E-2</v>
      </c>
      <c r="AL165" s="251"/>
      <c r="AM165" s="248" t="s">
        <v>401</v>
      </c>
      <c r="AN165" s="136">
        <v>46.67</v>
      </c>
      <c r="AO165" s="250">
        <f t="shared" si="35"/>
        <v>-3.8722966014418048E-2</v>
      </c>
      <c r="AP165" s="251"/>
      <c r="AQ165" s="248" t="s">
        <v>401</v>
      </c>
      <c r="AR165" s="136">
        <v>165.23</v>
      </c>
      <c r="AS165" s="250">
        <f t="shared" si="36"/>
        <v>-7.9293435863145079E-2</v>
      </c>
      <c r="AT165" s="251"/>
      <c r="AU165" s="248" t="s">
        <v>401</v>
      </c>
      <c r="AV165" s="136">
        <v>59.12</v>
      </c>
      <c r="AW165" s="250">
        <f t="shared" si="37"/>
        <v>-4.3056005179669898E-2</v>
      </c>
      <c r="AX165" s="251"/>
      <c r="AY165" s="248" t="s">
        <v>401</v>
      </c>
      <c r="AZ165" s="252">
        <v>3269.96</v>
      </c>
      <c r="BA165" s="250">
        <f t="shared" si="38"/>
        <v>-5.6394806933707242E-2</v>
      </c>
    </row>
    <row r="166" spans="3:53" ht="14.25" customHeight="1" x14ac:dyDescent="0.35">
      <c r="C166" s="248" t="s">
        <v>402</v>
      </c>
      <c r="D166" s="249">
        <v>139.56</v>
      </c>
      <c r="E166" s="250">
        <f t="shared" si="26"/>
        <v>-1.5310802229591358E-2</v>
      </c>
      <c r="G166" s="248" t="s">
        <v>402</v>
      </c>
      <c r="H166" s="136">
        <v>50.52</v>
      </c>
      <c r="I166" s="250">
        <f t="shared" si="27"/>
        <v>9.7941235258844905E-3</v>
      </c>
      <c r="K166" s="248" t="s">
        <v>402</v>
      </c>
      <c r="L166" s="136">
        <v>29.21</v>
      </c>
      <c r="M166" s="250">
        <f t="shared" si="28"/>
        <v>-1.8481182795698992E-2</v>
      </c>
      <c r="O166" s="248" t="s">
        <v>402</v>
      </c>
      <c r="P166" s="136">
        <v>40.200000000000003</v>
      </c>
      <c r="Q166" s="250">
        <f t="shared" si="29"/>
        <v>-4.4576523031203408E-3</v>
      </c>
      <c r="R166" s="251"/>
      <c r="S166" s="248" t="s">
        <v>402</v>
      </c>
      <c r="T166" s="136">
        <v>49.61</v>
      </c>
      <c r="U166" s="250">
        <f t="shared" si="30"/>
        <v>1.4129995962859354E-3</v>
      </c>
      <c r="V166" s="251"/>
      <c r="W166" s="248" t="s">
        <v>402</v>
      </c>
      <c r="X166" s="136">
        <v>66.760000000000005</v>
      </c>
      <c r="Y166" s="250">
        <f t="shared" si="31"/>
        <v>-5.0670640834573621E-3</v>
      </c>
      <c r="Z166" s="251"/>
      <c r="AA166" s="248" t="s">
        <v>402</v>
      </c>
      <c r="AB166" s="136">
        <v>31.37</v>
      </c>
      <c r="AC166" s="250">
        <f t="shared" si="32"/>
        <v>-2.4564676616915304E-2</v>
      </c>
      <c r="AD166" s="251"/>
      <c r="AE166" s="248" t="s">
        <v>402</v>
      </c>
      <c r="AF166" s="136">
        <v>56.61</v>
      </c>
      <c r="AG166" s="250">
        <f t="shared" si="33"/>
        <v>-2.346041055718473E-2</v>
      </c>
      <c r="AH166" s="251"/>
      <c r="AI166" s="248" t="s">
        <v>402</v>
      </c>
      <c r="AJ166" s="136">
        <v>146.34</v>
      </c>
      <c r="AK166" s="250">
        <f t="shared" si="34"/>
        <v>-2.3879402347918743E-2</v>
      </c>
      <c r="AL166" s="251"/>
      <c r="AM166" s="248" t="s">
        <v>402</v>
      </c>
      <c r="AN166" s="136">
        <v>48.55</v>
      </c>
      <c r="AO166" s="250">
        <f t="shared" si="35"/>
        <v>-7.9689415610951775E-3</v>
      </c>
      <c r="AP166" s="251"/>
      <c r="AQ166" s="248" t="s">
        <v>402</v>
      </c>
      <c r="AR166" s="136">
        <v>179.46</v>
      </c>
      <c r="AS166" s="250">
        <f t="shared" si="36"/>
        <v>-1.1130703107780415E-2</v>
      </c>
      <c r="AT166" s="251"/>
      <c r="AU166" s="248" t="s">
        <v>402</v>
      </c>
      <c r="AV166" s="136">
        <v>61.78</v>
      </c>
      <c r="AW166" s="250">
        <f t="shared" si="37"/>
        <v>-9.4596761263426865E-3</v>
      </c>
      <c r="AX166" s="251"/>
      <c r="AY166" s="248" t="s">
        <v>402</v>
      </c>
      <c r="AZ166" s="252">
        <v>3465.39</v>
      </c>
      <c r="BA166" s="250">
        <f t="shared" si="38"/>
        <v>-5.2873147502303652E-3</v>
      </c>
    </row>
    <row r="167" spans="3:53" ht="14.25" customHeight="1" x14ac:dyDescent="0.35">
      <c r="C167" s="253">
        <v>44145</v>
      </c>
      <c r="D167" s="249">
        <v>141.72999999999999</v>
      </c>
      <c r="E167" s="250">
        <f t="shared" si="26"/>
        <v>2.3764807859000259E-2</v>
      </c>
      <c r="G167" s="253">
        <v>44145</v>
      </c>
      <c r="H167" s="136">
        <v>50.03</v>
      </c>
      <c r="I167" s="250">
        <f t="shared" si="27"/>
        <v>-1.5351308797480812E-2</v>
      </c>
      <c r="K167" s="253">
        <v>44145</v>
      </c>
      <c r="L167" s="136">
        <v>29.76</v>
      </c>
      <c r="M167" s="250">
        <f t="shared" si="28"/>
        <v>1.7435897435897463E-2</v>
      </c>
      <c r="O167" s="253">
        <v>44145</v>
      </c>
      <c r="P167" s="136">
        <v>40.380000000000003</v>
      </c>
      <c r="Q167" s="250">
        <f t="shared" si="29"/>
        <v>-2.4703557312251156E-3</v>
      </c>
      <c r="R167" s="251"/>
      <c r="S167" s="253">
        <v>44145</v>
      </c>
      <c r="T167" s="136">
        <v>49.54</v>
      </c>
      <c r="U167" s="250">
        <f t="shared" si="30"/>
        <v>1.1846405228758128E-2</v>
      </c>
      <c r="V167" s="251"/>
      <c r="W167" s="253">
        <v>44145</v>
      </c>
      <c r="X167" s="136">
        <v>67.099999999999994</v>
      </c>
      <c r="Y167" s="250">
        <f t="shared" si="31"/>
        <v>1.8982536066818545E-2</v>
      </c>
      <c r="Z167" s="251"/>
      <c r="AA167" s="253">
        <v>44145</v>
      </c>
      <c r="AB167" s="136">
        <v>32.159999999999997</v>
      </c>
      <c r="AC167" s="250">
        <f t="shared" si="32"/>
        <v>3.3751205400192719E-2</v>
      </c>
      <c r="AD167" s="251"/>
      <c r="AE167" s="253">
        <v>44145</v>
      </c>
      <c r="AF167" s="136">
        <v>57.97</v>
      </c>
      <c r="AG167" s="250">
        <f t="shared" si="33"/>
        <v>1.1692844677137826E-2</v>
      </c>
      <c r="AH167" s="251"/>
      <c r="AI167" s="253">
        <v>44145</v>
      </c>
      <c r="AJ167" s="136">
        <v>149.91999999999999</v>
      </c>
      <c r="AK167" s="250">
        <f t="shared" si="34"/>
        <v>2.945821602691745E-2</v>
      </c>
      <c r="AL167" s="251"/>
      <c r="AM167" s="253">
        <v>44145</v>
      </c>
      <c r="AN167" s="136">
        <v>48.94</v>
      </c>
      <c r="AO167" s="250">
        <f t="shared" si="35"/>
        <v>9.6967196203836536E-3</v>
      </c>
      <c r="AP167" s="251"/>
      <c r="AQ167" s="253">
        <v>44145</v>
      </c>
      <c r="AR167" s="136">
        <v>181.48</v>
      </c>
      <c r="AS167" s="250">
        <f t="shared" si="36"/>
        <v>-2.7698901687650768E-2</v>
      </c>
      <c r="AT167" s="251"/>
      <c r="AU167" s="253">
        <v>44145</v>
      </c>
      <c r="AV167" s="136">
        <v>62.37</v>
      </c>
      <c r="AW167" s="250">
        <f t="shared" si="37"/>
        <v>8.081461128171874E-3</v>
      </c>
      <c r="AX167" s="251"/>
      <c r="AY167" s="253">
        <v>44145</v>
      </c>
      <c r="AZ167" s="252">
        <v>3483.81</v>
      </c>
      <c r="BA167" s="250">
        <f t="shared" si="38"/>
        <v>1.9211246056374254E-3</v>
      </c>
    </row>
    <row r="168" spans="3:53" ht="14.25" customHeight="1" x14ac:dyDescent="0.35">
      <c r="C168" s="253">
        <v>43931</v>
      </c>
      <c r="D168" s="249">
        <v>138.44</v>
      </c>
      <c r="E168" s="250">
        <f t="shared" si="26"/>
        <v>2.7524264812399668E-3</v>
      </c>
      <c r="G168" s="253">
        <v>43931</v>
      </c>
      <c r="H168" s="136">
        <v>50.81</v>
      </c>
      <c r="I168" s="250">
        <f t="shared" si="27"/>
        <v>2.9376012965964371E-2</v>
      </c>
      <c r="K168" s="253">
        <v>43931</v>
      </c>
      <c r="L168" s="136">
        <v>29.25</v>
      </c>
      <c r="M168" s="250">
        <f t="shared" si="28"/>
        <v>4.129583481666077E-2</v>
      </c>
      <c r="O168" s="253">
        <v>43931</v>
      </c>
      <c r="P168" s="136">
        <v>40.479999999999997</v>
      </c>
      <c r="Q168" s="250">
        <f t="shared" si="29"/>
        <v>1.7852652753331588E-2</v>
      </c>
      <c r="R168" s="251"/>
      <c r="S168" s="253">
        <v>43931</v>
      </c>
      <c r="T168" s="136">
        <v>48.96</v>
      </c>
      <c r="U168" s="250">
        <f t="shared" si="30"/>
        <v>-1.223990208078396E-3</v>
      </c>
      <c r="V168" s="251"/>
      <c r="W168" s="253">
        <v>43931</v>
      </c>
      <c r="X168" s="136">
        <v>65.849999999999994</v>
      </c>
      <c r="Y168" s="250">
        <f t="shared" si="31"/>
        <v>1.7617060732498802E-2</v>
      </c>
      <c r="Z168" s="251"/>
      <c r="AA168" s="253">
        <v>43931</v>
      </c>
      <c r="AB168" s="136">
        <v>31.11</v>
      </c>
      <c r="AC168" s="250">
        <f t="shared" si="32"/>
        <v>2.1004266491631229E-2</v>
      </c>
      <c r="AD168" s="251"/>
      <c r="AE168" s="253">
        <v>43931</v>
      </c>
      <c r="AF168" s="136">
        <v>57.3</v>
      </c>
      <c r="AG168" s="250">
        <f t="shared" si="33"/>
        <v>7.7383046078085549E-3</v>
      </c>
      <c r="AH168" s="251"/>
      <c r="AI168" s="253">
        <v>43931</v>
      </c>
      <c r="AJ168" s="136">
        <v>145.63</v>
      </c>
      <c r="AK168" s="250">
        <f t="shared" si="34"/>
        <v>1.8961656870976729E-2</v>
      </c>
      <c r="AL168" s="251"/>
      <c r="AM168" s="253">
        <v>43931</v>
      </c>
      <c r="AN168" s="136">
        <v>48.47</v>
      </c>
      <c r="AO168" s="250">
        <f t="shared" si="35"/>
        <v>-6.9657856996517831E-3</v>
      </c>
      <c r="AP168" s="251"/>
      <c r="AQ168" s="253">
        <v>43931</v>
      </c>
      <c r="AR168" s="136">
        <v>186.65</v>
      </c>
      <c r="AS168" s="250">
        <f t="shared" si="36"/>
        <v>5.6573275862068506E-3</v>
      </c>
      <c r="AT168" s="251"/>
      <c r="AU168" s="253">
        <v>43931</v>
      </c>
      <c r="AV168" s="136">
        <v>61.87</v>
      </c>
      <c r="AW168" s="250">
        <f t="shared" si="37"/>
        <v>-1.0396673064619444E-2</v>
      </c>
      <c r="AX168" s="251"/>
      <c r="AY168" s="253">
        <v>43931</v>
      </c>
      <c r="AZ168" s="252">
        <v>3477.13</v>
      </c>
      <c r="BA168" s="250">
        <f t="shared" si="38"/>
        <v>3.8432822448662751E-2</v>
      </c>
    </row>
    <row r="169" spans="3:53" ht="14.25" customHeight="1" x14ac:dyDescent="0.35">
      <c r="C169" s="248" t="s">
        <v>403</v>
      </c>
      <c r="D169" s="249">
        <v>138.06</v>
      </c>
      <c r="E169" s="250">
        <f t="shared" si="26"/>
        <v>3.3770123549232478E-2</v>
      </c>
      <c r="G169" s="248" t="s">
        <v>403</v>
      </c>
      <c r="H169" s="136">
        <v>49.36</v>
      </c>
      <c r="I169" s="250">
        <f t="shared" si="27"/>
        <v>1.3136288998357948E-2</v>
      </c>
      <c r="K169" s="248" t="s">
        <v>403</v>
      </c>
      <c r="L169" s="136">
        <v>28.09</v>
      </c>
      <c r="M169" s="250">
        <f t="shared" si="28"/>
        <v>7.5322812051650256E-3</v>
      </c>
      <c r="O169" s="248" t="s">
        <v>403</v>
      </c>
      <c r="P169" s="136">
        <v>39.770000000000003</v>
      </c>
      <c r="Q169" s="250">
        <f t="shared" si="29"/>
        <v>9.3908629441625813E-3</v>
      </c>
      <c r="R169" s="251"/>
      <c r="S169" s="248" t="s">
        <v>403</v>
      </c>
      <c r="T169" s="136">
        <v>49.02</v>
      </c>
      <c r="U169" s="250">
        <f t="shared" si="30"/>
        <v>3.6855036855036882E-3</v>
      </c>
      <c r="V169" s="251"/>
      <c r="W169" s="248" t="s">
        <v>403</v>
      </c>
      <c r="X169" s="136">
        <v>64.709999999999994</v>
      </c>
      <c r="Y169" s="250">
        <f t="shared" si="31"/>
        <v>2.5840202916930899E-2</v>
      </c>
      <c r="Z169" s="251"/>
      <c r="AA169" s="248" t="s">
        <v>403</v>
      </c>
      <c r="AB169" s="136">
        <v>30.47</v>
      </c>
      <c r="AC169" s="250">
        <f t="shared" si="32"/>
        <v>4.6000686577411631E-2</v>
      </c>
      <c r="AD169" s="251"/>
      <c r="AE169" s="248" t="s">
        <v>403</v>
      </c>
      <c r="AF169" s="136">
        <v>56.86</v>
      </c>
      <c r="AG169" s="250">
        <f t="shared" si="33"/>
        <v>1.2644701691896687E-2</v>
      </c>
      <c r="AH169" s="251"/>
      <c r="AI169" s="248" t="s">
        <v>403</v>
      </c>
      <c r="AJ169" s="136">
        <v>142.91999999999999</v>
      </c>
      <c r="AK169" s="250">
        <f t="shared" si="34"/>
        <v>2.4369266055045635E-2</v>
      </c>
      <c r="AL169" s="251"/>
      <c r="AM169" s="248" t="s">
        <v>403</v>
      </c>
      <c r="AN169" s="136">
        <v>48.81</v>
      </c>
      <c r="AO169" s="250">
        <f t="shared" si="35"/>
        <v>2.6282590412111118E-2</v>
      </c>
      <c r="AP169" s="251"/>
      <c r="AQ169" s="248" t="s">
        <v>403</v>
      </c>
      <c r="AR169" s="136">
        <v>185.6</v>
      </c>
      <c r="AS169" s="250">
        <f t="shared" si="36"/>
        <v>2.0789792102078986E-2</v>
      </c>
      <c r="AT169" s="251"/>
      <c r="AU169" s="248" t="s">
        <v>403</v>
      </c>
      <c r="AV169" s="136">
        <v>62.52</v>
      </c>
      <c r="AW169" s="250">
        <f t="shared" si="37"/>
        <v>4.7762694821518403E-2</v>
      </c>
      <c r="AX169" s="251"/>
      <c r="AY169" s="248" t="s">
        <v>403</v>
      </c>
      <c r="AZ169" s="252">
        <v>3348.44</v>
      </c>
      <c r="BA169" s="250">
        <f t="shared" si="38"/>
        <v>1.5152525724125843E-2</v>
      </c>
    </row>
    <row r="170" spans="3:53" ht="14.25" customHeight="1" x14ac:dyDescent="0.35">
      <c r="C170" s="248" t="s">
        <v>404</v>
      </c>
      <c r="D170" s="249">
        <v>133.55000000000001</v>
      </c>
      <c r="E170" s="250">
        <f t="shared" si="26"/>
        <v>1.5821099870693134E-2</v>
      </c>
      <c r="G170" s="248" t="s">
        <v>404</v>
      </c>
      <c r="H170" s="136">
        <v>48.72</v>
      </c>
      <c r="I170" s="250">
        <f t="shared" si="27"/>
        <v>-3.4291377601585848E-2</v>
      </c>
      <c r="K170" s="248" t="s">
        <v>404</v>
      </c>
      <c r="L170" s="136">
        <v>27.88</v>
      </c>
      <c r="M170" s="250">
        <f t="shared" si="28"/>
        <v>-6.0606060606060996E-3</v>
      </c>
      <c r="O170" s="248" t="s">
        <v>404</v>
      </c>
      <c r="P170" s="136">
        <v>39.4</v>
      </c>
      <c r="Q170" s="250">
        <f t="shared" si="29"/>
        <v>-2.2790579893644525E-3</v>
      </c>
      <c r="R170" s="251"/>
      <c r="S170" s="248" t="s">
        <v>404</v>
      </c>
      <c r="T170" s="136">
        <v>48.84</v>
      </c>
      <c r="U170" s="250">
        <f t="shared" si="30"/>
        <v>1.8461538461538307E-3</v>
      </c>
      <c r="V170" s="251"/>
      <c r="W170" s="248" t="s">
        <v>404</v>
      </c>
      <c r="X170" s="136">
        <v>63.08</v>
      </c>
      <c r="Y170" s="250">
        <f t="shared" si="31"/>
        <v>2.5429116338206992E-3</v>
      </c>
      <c r="Z170" s="251"/>
      <c r="AA170" s="248" t="s">
        <v>404</v>
      </c>
      <c r="AB170" s="136">
        <v>29.13</v>
      </c>
      <c r="AC170" s="250">
        <f t="shared" si="32"/>
        <v>-2.0511096166778708E-2</v>
      </c>
      <c r="AD170" s="251"/>
      <c r="AE170" s="248" t="s">
        <v>404</v>
      </c>
      <c r="AF170" s="136">
        <v>56.15</v>
      </c>
      <c r="AG170" s="250">
        <f t="shared" si="33"/>
        <v>-6.5463552724700502E-3</v>
      </c>
      <c r="AH170" s="251"/>
      <c r="AI170" s="248" t="s">
        <v>404</v>
      </c>
      <c r="AJ170" s="136">
        <v>139.52000000000001</v>
      </c>
      <c r="AK170" s="250">
        <f t="shared" si="34"/>
        <v>4.3190325367119531E-3</v>
      </c>
      <c r="AL170" s="251"/>
      <c r="AM170" s="248" t="s">
        <v>404</v>
      </c>
      <c r="AN170" s="136">
        <v>47.56</v>
      </c>
      <c r="AO170" s="250">
        <f t="shared" si="35"/>
        <v>4.6654929577464976E-2</v>
      </c>
      <c r="AP170" s="251"/>
      <c r="AQ170" s="248" t="s">
        <v>404</v>
      </c>
      <c r="AR170" s="136">
        <v>181.82</v>
      </c>
      <c r="AS170" s="250">
        <f t="shared" si="36"/>
        <v>-3.1893935360204462E-2</v>
      </c>
      <c r="AT170" s="251"/>
      <c r="AU170" s="248" t="s">
        <v>404</v>
      </c>
      <c r="AV170" s="136">
        <v>59.67</v>
      </c>
      <c r="AW170" s="250">
        <f t="shared" si="37"/>
        <v>4.0997906489881331E-2</v>
      </c>
      <c r="AX170" s="251"/>
      <c r="AY170" s="248" t="s">
        <v>404</v>
      </c>
      <c r="AZ170" s="252">
        <v>3298.46</v>
      </c>
      <c r="BA170" s="250">
        <f t="shared" si="38"/>
        <v>-6.3293236570897138E-3</v>
      </c>
    </row>
    <row r="171" spans="3:53" ht="14.25" customHeight="1" x14ac:dyDescent="0.35">
      <c r="C171" s="248" t="s">
        <v>405</v>
      </c>
      <c r="D171" s="249">
        <v>131.47</v>
      </c>
      <c r="E171" s="250">
        <f t="shared" si="26"/>
        <v>-3.1956409690008125E-2</v>
      </c>
      <c r="G171" s="248" t="s">
        <v>405</v>
      </c>
      <c r="H171" s="136">
        <v>50.45</v>
      </c>
      <c r="I171" s="250">
        <f t="shared" si="27"/>
        <v>-1.1946729338033646E-2</v>
      </c>
      <c r="K171" s="248" t="s">
        <v>405</v>
      </c>
      <c r="L171" s="136">
        <v>28.05</v>
      </c>
      <c r="M171" s="250">
        <f t="shared" si="28"/>
        <v>-2.7055150884495283E-2</v>
      </c>
      <c r="O171" s="248" t="s">
        <v>405</v>
      </c>
      <c r="P171" s="136">
        <v>39.49</v>
      </c>
      <c r="Q171" s="250">
        <f t="shared" si="29"/>
        <v>-2.901401524465208E-2</v>
      </c>
      <c r="R171" s="251"/>
      <c r="S171" s="248" t="s">
        <v>405</v>
      </c>
      <c r="T171" s="136">
        <v>48.75</v>
      </c>
      <c r="U171" s="250">
        <f t="shared" si="30"/>
        <v>-2.1673690547862723E-2</v>
      </c>
      <c r="V171" s="251"/>
      <c r="W171" s="248" t="s">
        <v>405</v>
      </c>
      <c r="X171" s="136">
        <v>62.92</v>
      </c>
      <c r="Y171" s="250">
        <f t="shared" si="31"/>
        <v>-3.85085574572126E-2</v>
      </c>
      <c r="Z171" s="251"/>
      <c r="AA171" s="248" t="s">
        <v>405</v>
      </c>
      <c r="AB171" s="136">
        <v>29.74</v>
      </c>
      <c r="AC171" s="250">
        <f t="shared" si="32"/>
        <v>-6.2125512456638332E-2</v>
      </c>
      <c r="AD171" s="251"/>
      <c r="AE171" s="248" t="s">
        <v>405</v>
      </c>
      <c r="AF171" s="136">
        <v>56.52</v>
      </c>
      <c r="AG171" s="250">
        <f t="shared" si="33"/>
        <v>-1.7897480451780967E-2</v>
      </c>
      <c r="AH171" s="251"/>
      <c r="AI171" s="248" t="s">
        <v>405</v>
      </c>
      <c r="AJ171" s="136">
        <v>138.91999999999999</v>
      </c>
      <c r="AK171" s="250">
        <f t="shared" si="34"/>
        <v>-4.5223367697594608E-2</v>
      </c>
      <c r="AL171" s="251"/>
      <c r="AM171" s="248" t="s">
        <v>405</v>
      </c>
      <c r="AN171" s="136">
        <v>45.44</v>
      </c>
      <c r="AO171" s="250">
        <f t="shared" si="35"/>
        <v>-1.3186813186814028E-3</v>
      </c>
      <c r="AP171" s="251"/>
      <c r="AQ171" s="248" t="s">
        <v>405</v>
      </c>
      <c r="AR171" s="136">
        <v>187.81</v>
      </c>
      <c r="AS171" s="250">
        <f t="shared" si="36"/>
        <v>-5.296329643556974E-3</v>
      </c>
      <c r="AT171" s="251"/>
      <c r="AU171" s="248" t="s">
        <v>405</v>
      </c>
      <c r="AV171" s="136">
        <v>57.32</v>
      </c>
      <c r="AW171" s="250">
        <f t="shared" si="37"/>
        <v>-2.0840450973693136E-2</v>
      </c>
      <c r="AX171" s="251"/>
      <c r="AY171" s="248" t="s">
        <v>405</v>
      </c>
      <c r="AZ171" s="252">
        <v>3319.47</v>
      </c>
      <c r="BA171" s="250">
        <f t="shared" si="38"/>
        <v>-6.4352568266102805E-3</v>
      </c>
    </row>
    <row r="172" spans="3:53" ht="14.25" customHeight="1" x14ac:dyDescent="0.35">
      <c r="C172" s="253">
        <v>43991</v>
      </c>
      <c r="D172" s="249">
        <v>135.81</v>
      </c>
      <c r="E172" s="250">
        <f t="shared" si="26"/>
        <v>-2.1259729028538454E-2</v>
      </c>
      <c r="G172" s="253">
        <v>43991</v>
      </c>
      <c r="H172" s="136">
        <v>51.06</v>
      </c>
      <c r="I172" s="250">
        <f t="shared" si="27"/>
        <v>3.9184952978055243E-4</v>
      </c>
      <c r="K172" s="253">
        <v>43991</v>
      </c>
      <c r="L172" s="136">
        <v>28.83</v>
      </c>
      <c r="M172" s="250">
        <f t="shared" si="28"/>
        <v>-2.403520649966151E-2</v>
      </c>
      <c r="O172" s="253">
        <v>43991</v>
      </c>
      <c r="P172" s="136">
        <v>40.67</v>
      </c>
      <c r="Q172" s="250">
        <f t="shared" si="29"/>
        <v>-1.1184050571359072E-2</v>
      </c>
      <c r="R172" s="251"/>
      <c r="S172" s="253">
        <v>43991</v>
      </c>
      <c r="T172" s="136">
        <v>49.83</v>
      </c>
      <c r="U172" s="250">
        <f t="shared" si="30"/>
        <v>-2.4471417384494876E-2</v>
      </c>
      <c r="V172" s="251"/>
      <c r="W172" s="253">
        <v>43991</v>
      </c>
      <c r="X172" s="136">
        <v>65.44</v>
      </c>
      <c r="Y172" s="250">
        <f t="shared" si="31"/>
        <v>-5.460849465472406E-2</v>
      </c>
      <c r="Z172" s="251"/>
      <c r="AA172" s="253">
        <v>43991</v>
      </c>
      <c r="AB172" s="136">
        <v>31.71</v>
      </c>
      <c r="AC172" s="250">
        <f t="shared" si="32"/>
        <v>-5.2584403943830238E-2</v>
      </c>
      <c r="AD172" s="251"/>
      <c r="AE172" s="253">
        <v>43991</v>
      </c>
      <c r="AF172" s="136">
        <v>57.55</v>
      </c>
      <c r="AG172" s="250">
        <f t="shared" si="33"/>
        <v>-5.7014512785072968E-3</v>
      </c>
      <c r="AH172" s="251"/>
      <c r="AI172" s="253">
        <v>43991</v>
      </c>
      <c r="AJ172" s="136">
        <v>145.5</v>
      </c>
      <c r="AK172" s="250">
        <f t="shared" si="34"/>
        <v>-2.2177419354838745E-2</v>
      </c>
      <c r="AL172" s="251"/>
      <c r="AM172" s="253">
        <v>43991</v>
      </c>
      <c r="AN172" s="136">
        <v>45.5</v>
      </c>
      <c r="AO172" s="250">
        <f t="shared" si="35"/>
        <v>-4.3715846994535457E-2</v>
      </c>
      <c r="AP172" s="251"/>
      <c r="AQ172" s="253">
        <v>43991</v>
      </c>
      <c r="AR172" s="136">
        <v>188.81</v>
      </c>
      <c r="AS172" s="250">
        <f t="shared" si="36"/>
        <v>-1.4149958228905635E-2</v>
      </c>
      <c r="AT172" s="251"/>
      <c r="AU172" s="253">
        <v>43991</v>
      </c>
      <c r="AV172" s="136">
        <v>58.54</v>
      </c>
      <c r="AW172" s="250">
        <f t="shared" si="37"/>
        <v>-7.3000791765637341E-2</v>
      </c>
      <c r="AX172" s="251"/>
      <c r="AY172" s="253">
        <v>43991</v>
      </c>
      <c r="AZ172" s="252">
        <v>3340.97</v>
      </c>
      <c r="BA172" s="250">
        <f t="shared" si="38"/>
        <v>-2.5092210005369209E-2</v>
      </c>
    </row>
    <row r="173" spans="3:53" ht="14.25" customHeight="1" x14ac:dyDescent="0.35">
      <c r="C173" s="248" t="s">
        <v>406</v>
      </c>
      <c r="D173" s="249">
        <v>138.76</v>
      </c>
      <c r="E173" s="250">
        <f t="shared" si="26"/>
        <v>-8.4321852222380977E-3</v>
      </c>
      <c r="G173" s="248" t="s">
        <v>406</v>
      </c>
      <c r="H173" s="136">
        <v>51.04</v>
      </c>
      <c r="I173" s="250">
        <f t="shared" si="27"/>
        <v>2.428256070640189E-2</v>
      </c>
      <c r="K173" s="248" t="s">
        <v>406</v>
      </c>
      <c r="L173" s="136">
        <v>29.54</v>
      </c>
      <c r="M173" s="250">
        <f t="shared" si="28"/>
        <v>-1.7625540405720064E-2</v>
      </c>
      <c r="O173" s="248" t="s">
        <v>406</v>
      </c>
      <c r="P173" s="136">
        <v>41.13</v>
      </c>
      <c r="Q173" s="250">
        <f t="shared" si="29"/>
        <v>-2.6969481902058168E-2</v>
      </c>
      <c r="R173" s="251"/>
      <c r="S173" s="248" t="s">
        <v>406</v>
      </c>
      <c r="T173" s="136">
        <v>51.08</v>
      </c>
      <c r="U173" s="250">
        <f t="shared" si="30"/>
        <v>9.0873172659027279E-3</v>
      </c>
      <c r="V173" s="251"/>
      <c r="W173" s="248" t="s">
        <v>406</v>
      </c>
      <c r="X173" s="136">
        <v>69.22</v>
      </c>
      <c r="Y173" s="250">
        <f t="shared" si="31"/>
        <v>-1.8712787071165415E-2</v>
      </c>
      <c r="Z173" s="251"/>
      <c r="AA173" s="248" t="s">
        <v>406</v>
      </c>
      <c r="AB173" s="136">
        <v>33.47</v>
      </c>
      <c r="AC173" s="250">
        <f t="shared" si="32"/>
        <v>-4.0424311926605561E-2</v>
      </c>
      <c r="AD173" s="251"/>
      <c r="AE173" s="248" t="s">
        <v>406</v>
      </c>
      <c r="AF173" s="136">
        <v>57.88</v>
      </c>
      <c r="AG173" s="250">
        <f t="shared" si="33"/>
        <v>-7.3743783227576687E-3</v>
      </c>
      <c r="AH173" s="251"/>
      <c r="AI173" s="248" t="s">
        <v>406</v>
      </c>
      <c r="AJ173" s="136">
        <v>148.80000000000001</v>
      </c>
      <c r="AK173" s="250">
        <f t="shared" si="34"/>
        <v>-2.6809651474529739E-3</v>
      </c>
      <c r="AL173" s="251"/>
      <c r="AM173" s="248" t="s">
        <v>406</v>
      </c>
      <c r="AN173" s="136">
        <v>47.58</v>
      </c>
      <c r="AO173" s="250">
        <f t="shared" si="35"/>
        <v>-8.7456846950517919E-2</v>
      </c>
      <c r="AP173" s="251"/>
      <c r="AQ173" s="248" t="s">
        <v>406</v>
      </c>
      <c r="AR173" s="136">
        <v>191.52</v>
      </c>
      <c r="AS173" s="250">
        <f t="shared" si="36"/>
        <v>3.3176889464314741E-2</v>
      </c>
      <c r="AT173" s="251"/>
      <c r="AU173" s="248" t="s">
        <v>406</v>
      </c>
      <c r="AV173" s="136">
        <v>63.15</v>
      </c>
      <c r="AW173" s="250">
        <f t="shared" si="37"/>
        <v>-3.786086133459543E-3</v>
      </c>
      <c r="AX173" s="251"/>
      <c r="AY173" s="248" t="s">
        <v>406</v>
      </c>
      <c r="AZ173" s="252">
        <v>3426.96</v>
      </c>
      <c r="BA173" s="250">
        <f t="shared" si="38"/>
        <v>-2.3104267091598962E-2</v>
      </c>
    </row>
    <row r="174" spans="3:53" ht="14.25" customHeight="1" x14ac:dyDescent="0.35">
      <c r="C174" s="248" t="s">
        <v>407</v>
      </c>
      <c r="D174" s="249">
        <v>139.94</v>
      </c>
      <c r="E174" s="250">
        <f t="shared" si="26"/>
        <v>2.5501978601788045E-2</v>
      </c>
      <c r="G174" s="248" t="s">
        <v>407</v>
      </c>
      <c r="H174" s="136">
        <v>49.83</v>
      </c>
      <c r="I174" s="250">
        <f t="shared" si="27"/>
        <v>5.3934010152284273E-2</v>
      </c>
      <c r="K174" s="248" t="s">
        <v>407</v>
      </c>
      <c r="L174" s="136">
        <v>30.07</v>
      </c>
      <c r="M174" s="250">
        <f t="shared" si="28"/>
        <v>3.9405461458693392E-2</v>
      </c>
      <c r="O174" s="248" t="s">
        <v>407</v>
      </c>
      <c r="P174" s="136">
        <v>42.27</v>
      </c>
      <c r="Q174" s="250">
        <f t="shared" si="29"/>
        <v>2.1754894851341744E-2</v>
      </c>
      <c r="R174" s="251"/>
      <c r="S174" s="248" t="s">
        <v>407</v>
      </c>
      <c r="T174" s="136">
        <v>50.62</v>
      </c>
      <c r="U174" s="250">
        <f t="shared" si="30"/>
        <v>-3.9104024297646256E-2</v>
      </c>
      <c r="V174" s="251"/>
      <c r="W174" s="248" t="s">
        <v>407</v>
      </c>
      <c r="X174" s="136">
        <v>70.540000000000006</v>
      </c>
      <c r="Y174" s="250">
        <f t="shared" si="31"/>
        <v>2.3951226593119657E-2</v>
      </c>
      <c r="Z174" s="251"/>
      <c r="AA174" s="248" t="s">
        <v>407</v>
      </c>
      <c r="AB174" s="136">
        <v>34.880000000000003</v>
      </c>
      <c r="AC174" s="250">
        <f t="shared" si="32"/>
        <v>9.2592592592593004E-3</v>
      </c>
      <c r="AD174" s="251"/>
      <c r="AE174" s="248" t="s">
        <v>407</v>
      </c>
      <c r="AF174" s="136">
        <v>58.31</v>
      </c>
      <c r="AG174" s="250">
        <f t="shared" si="33"/>
        <v>1.4616321559074441E-2</v>
      </c>
      <c r="AH174" s="251"/>
      <c r="AI174" s="248" t="s">
        <v>407</v>
      </c>
      <c r="AJ174" s="136">
        <v>149.19999999999999</v>
      </c>
      <c r="AK174" s="250">
        <f t="shared" si="34"/>
        <v>1.2005697619208888E-2</v>
      </c>
      <c r="AL174" s="251"/>
      <c r="AM174" s="248" t="s">
        <v>407</v>
      </c>
      <c r="AN174" s="136">
        <v>52.14</v>
      </c>
      <c r="AO174" s="250">
        <f t="shared" si="35"/>
        <v>-7.613247049866767E-3</v>
      </c>
      <c r="AP174" s="251"/>
      <c r="AQ174" s="248" t="s">
        <v>407</v>
      </c>
      <c r="AR174" s="136">
        <v>185.37</v>
      </c>
      <c r="AS174" s="250">
        <f t="shared" si="36"/>
        <v>3.3911539963188186E-2</v>
      </c>
      <c r="AT174" s="251"/>
      <c r="AU174" s="248" t="s">
        <v>407</v>
      </c>
      <c r="AV174" s="136">
        <v>63.39</v>
      </c>
      <c r="AW174" s="250">
        <f t="shared" si="37"/>
        <v>-9.840674789128312E-3</v>
      </c>
      <c r="AX174" s="251"/>
      <c r="AY174" s="248" t="s">
        <v>407</v>
      </c>
      <c r="AZ174" s="252">
        <v>3508.01</v>
      </c>
      <c r="BA174" s="250">
        <f t="shared" si="38"/>
        <v>3.2630196988072457E-2</v>
      </c>
    </row>
    <row r="175" spans="3:53" ht="14.25" customHeight="1" x14ac:dyDescent="0.35">
      <c r="C175" s="248" t="s">
        <v>408</v>
      </c>
      <c r="D175" s="249">
        <v>136.46</v>
      </c>
      <c r="E175" s="250">
        <f t="shared" si="26"/>
        <v>-7.9965106135504449E-3</v>
      </c>
      <c r="G175" s="248" t="s">
        <v>408</v>
      </c>
      <c r="H175" s="136">
        <v>47.28</v>
      </c>
      <c r="I175" s="250">
        <f t="shared" si="27"/>
        <v>-2.4148606811145501E-2</v>
      </c>
      <c r="K175" s="248" t="s">
        <v>408</v>
      </c>
      <c r="L175" s="136">
        <v>28.93</v>
      </c>
      <c r="M175" s="250">
        <f t="shared" si="28"/>
        <v>-3.2117765138842458E-2</v>
      </c>
      <c r="O175" s="248" t="s">
        <v>408</v>
      </c>
      <c r="P175" s="136">
        <v>41.37</v>
      </c>
      <c r="Q175" s="250">
        <f t="shared" si="29"/>
        <v>-6.9611137782045196E-3</v>
      </c>
      <c r="R175" s="251"/>
      <c r="S175" s="248" t="s">
        <v>408</v>
      </c>
      <c r="T175" s="136">
        <v>52.68</v>
      </c>
      <c r="U175" s="250">
        <f t="shared" si="30"/>
        <v>8.6157380815623519E-3</v>
      </c>
      <c r="V175" s="251"/>
      <c r="W175" s="248" t="s">
        <v>408</v>
      </c>
      <c r="X175" s="136">
        <v>68.89</v>
      </c>
      <c r="Y175" s="250">
        <f t="shared" si="31"/>
        <v>-3.0390738060780409E-3</v>
      </c>
      <c r="Z175" s="251"/>
      <c r="AA175" s="248" t="s">
        <v>408</v>
      </c>
      <c r="AB175" s="136">
        <v>34.56</v>
      </c>
      <c r="AC175" s="250">
        <f t="shared" si="32"/>
        <v>-2.8940713683619057E-2</v>
      </c>
      <c r="AD175" s="251"/>
      <c r="AE175" s="248" t="s">
        <v>408</v>
      </c>
      <c r="AF175" s="136">
        <v>57.47</v>
      </c>
      <c r="AG175" s="250">
        <f t="shared" si="33"/>
        <v>2.405559515324307E-2</v>
      </c>
      <c r="AH175" s="251"/>
      <c r="AI175" s="248" t="s">
        <v>408</v>
      </c>
      <c r="AJ175" s="136">
        <v>147.43</v>
      </c>
      <c r="AK175" s="250">
        <f t="shared" si="34"/>
        <v>9.310604504689568E-3</v>
      </c>
      <c r="AL175" s="251"/>
      <c r="AM175" s="248" t="s">
        <v>408</v>
      </c>
      <c r="AN175" s="136">
        <v>52.54</v>
      </c>
      <c r="AO175" s="250">
        <f t="shared" si="35"/>
        <v>1.7625411582413264E-2</v>
      </c>
      <c r="AP175" s="251"/>
      <c r="AQ175" s="248" t="s">
        <v>408</v>
      </c>
      <c r="AR175" s="136">
        <v>179.29</v>
      </c>
      <c r="AS175" s="250">
        <f t="shared" si="36"/>
        <v>1.8519570527750995E-2</v>
      </c>
      <c r="AT175" s="251"/>
      <c r="AU175" s="248" t="s">
        <v>408</v>
      </c>
      <c r="AV175" s="136">
        <v>64.02</v>
      </c>
      <c r="AW175" s="250">
        <f t="shared" si="37"/>
        <v>1.1853959222380084E-2</v>
      </c>
      <c r="AX175" s="251"/>
      <c r="AY175" s="248" t="s">
        <v>408</v>
      </c>
      <c r="AZ175" s="252">
        <v>3397.16</v>
      </c>
      <c r="BA175" s="250">
        <f t="shared" si="38"/>
        <v>7.2075544420890925E-3</v>
      </c>
    </row>
    <row r="176" spans="3:53" ht="14.25" customHeight="1" x14ac:dyDescent="0.35">
      <c r="C176" s="253">
        <v>44082</v>
      </c>
      <c r="D176" s="249">
        <v>137.56</v>
      </c>
      <c r="E176" s="250">
        <f t="shared" si="26"/>
        <v>5.9967822144215699E-3</v>
      </c>
      <c r="G176" s="253">
        <v>44082</v>
      </c>
      <c r="H176" s="136">
        <v>48.45</v>
      </c>
      <c r="I176" s="250">
        <f t="shared" si="27"/>
        <v>1.3598326359832713E-2</v>
      </c>
      <c r="K176" s="253">
        <v>44082</v>
      </c>
      <c r="L176" s="136">
        <v>29.89</v>
      </c>
      <c r="M176" s="250">
        <f t="shared" si="28"/>
        <v>8.7748903138711309E-3</v>
      </c>
      <c r="O176" s="253">
        <v>44082</v>
      </c>
      <c r="P176" s="136">
        <v>41.66</v>
      </c>
      <c r="Q176" s="250">
        <f t="shared" si="29"/>
        <v>1.683096898292602E-3</v>
      </c>
      <c r="R176" s="251"/>
      <c r="S176" s="253">
        <v>44082</v>
      </c>
      <c r="T176" s="136">
        <v>52.23</v>
      </c>
      <c r="U176" s="250">
        <f t="shared" si="30"/>
        <v>1.181712514529254E-2</v>
      </c>
      <c r="V176" s="251"/>
      <c r="W176" s="253">
        <v>44082</v>
      </c>
      <c r="X176" s="136">
        <v>69.099999999999994</v>
      </c>
      <c r="Y176" s="250">
        <f t="shared" si="31"/>
        <v>-6.0414269275028687E-3</v>
      </c>
      <c r="Z176" s="251"/>
      <c r="AA176" s="253">
        <v>44082</v>
      </c>
      <c r="AB176" s="136">
        <v>35.590000000000003</v>
      </c>
      <c r="AC176" s="250">
        <f t="shared" si="32"/>
        <v>5.0833097994917864E-3</v>
      </c>
      <c r="AD176" s="251"/>
      <c r="AE176" s="253">
        <v>44082</v>
      </c>
      <c r="AF176" s="136">
        <v>56.12</v>
      </c>
      <c r="AG176" s="250">
        <f t="shared" si="33"/>
        <v>9.3525179856115415E-3</v>
      </c>
      <c r="AH176" s="251"/>
      <c r="AI176" s="253">
        <v>44082</v>
      </c>
      <c r="AJ176" s="136">
        <v>146.07</v>
      </c>
      <c r="AK176" s="250">
        <f t="shared" si="34"/>
        <v>1.4938854919399613E-2</v>
      </c>
      <c r="AL176" s="251"/>
      <c r="AM176" s="253">
        <v>44082</v>
      </c>
      <c r="AN176" s="136">
        <v>51.63</v>
      </c>
      <c r="AO176" s="250">
        <f t="shared" si="35"/>
        <v>3.3219931959175497E-2</v>
      </c>
      <c r="AP176" s="251"/>
      <c r="AQ176" s="253">
        <v>44082</v>
      </c>
      <c r="AR176" s="136">
        <v>176.03</v>
      </c>
      <c r="AS176" s="250">
        <f t="shared" si="36"/>
        <v>2.1826203053346482E-2</v>
      </c>
      <c r="AT176" s="251"/>
      <c r="AU176" s="253">
        <v>44082</v>
      </c>
      <c r="AV176" s="136">
        <v>63.27</v>
      </c>
      <c r="AW176" s="250">
        <f t="shared" si="37"/>
        <v>-1.6783216783216592E-2</v>
      </c>
      <c r="AX176" s="251"/>
      <c r="AY176" s="253">
        <v>44082</v>
      </c>
      <c r="AZ176" s="252">
        <v>3372.85</v>
      </c>
      <c r="BA176" s="250">
        <f t="shared" si="38"/>
        <v>6.4363467093169202E-3</v>
      </c>
    </row>
    <row r="177" spans="3:53" ht="14.25" customHeight="1" x14ac:dyDescent="0.35">
      <c r="C177" s="253">
        <v>43869</v>
      </c>
      <c r="D177" s="249">
        <v>136.74</v>
      </c>
      <c r="E177" s="250">
        <f t="shared" si="26"/>
        <v>-6.68313235507767E-3</v>
      </c>
      <c r="G177" s="253">
        <v>43869</v>
      </c>
      <c r="H177" s="136">
        <v>47.8</v>
      </c>
      <c r="I177" s="250">
        <f t="shared" si="27"/>
        <v>1.1854360711261558E-2</v>
      </c>
      <c r="K177" s="253">
        <v>43869</v>
      </c>
      <c r="L177" s="136">
        <v>29.63</v>
      </c>
      <c r="M177" s="250">
        <f t="shared" si="28"/>
        <v>-3.1382804838182454E-2</v>
      </c>
      <c r="O177" s="253">
        <v>43869</v>
      </c>
      <c r="P177" s="136">
        <v>41.59</v>
      </c>
      <c r="Q177" s="250">
        <f t="shared" si="29"/>
        <v>5.9887869520897086E-2</v>
      </c>
      <c r="R177" s="251"/>
      <c r="S177" s="253">
        <v>43869</v>
      </c>
      <c r="T177" s="136">
        <v>51.62</v>
      </c>
      <c r="U177" s="250">
        <f t="shared" si="30"/>
        <v>1.4942980731419642E-2</v>
      </c>
      <c r="V177" s="251"/>
      <c r="W177" s="253">
        <v>43869</v>
      </c>
      <c r="X177" s="136">
        <v>69.52</v>
      </c>
      <c r="Y177" s="250">
        <f t="shared" si="31"/>
        <v>7.6822727931584733E-3</v>
      </c>
      <c r="Z177" s="251"/>
      <c r="AA177" s="253">
        <v>43869</v>
      </c>
      <c r="AB177" s="136">
        <v>35.409999999999997</v>
      </c>
      <c r="AC177" s="250">
        <f t="shared" si="32"/>
        <v>2.9959278650377952E-2</v>
      </c>
      <c r="AD177" s="251"/>
      <c r="AE177" s="253">
        <v>43869</v>
      </c>
      <c r="AF177" s="136">
        <v>55.6</v>
      </c>
      <c r="AG177" s="250">
        <f t="shared" si="33"/>
        <v>1.9823391602089568E-3</v>
      </c>
      <c r="AH177" s="251"/>
      <c r="AI177" s="253">
        <v>43869</v>
      </c>
      <c r="AJ177" s="136">
        <v>143.91999999999999</v>
      </c>
      <c r="AK177" s="250">
        <f t="shared" si="34"/>
        <v>-1.0246888109483598E-2</v>
      </c>
      <c r="AL177" s="251"/>
      <c r="AM177" s="253">
        <v>43869</v>
      </c>
      <c r="AN177" s="136">
        <v>49.97</v>
      </c>
      <c r="AO177" s="250">
        <f t="shared" si="35"/>
        <v>8.0693968125882254E-3</v>
      </c>
      <c r="AP177" s="251"/>
      <c r="AQ177" s="253">
        <v>43869</v>
      </c>
      <c r="AR177" s="136">
        <v>172.27</v>
      </c>
      <c r="AS177" s="250">
        <f t="shared" si="36"/>
        <v>-3.3277216610549831E-2</v>
      </c>
      <c r="AT177" s="251"/>
      <c r="AU177" s="253">
        <v>43869</v>
      </c>
      <c r="AV177" s="136">
        <v>64.349999999999994</v>
      </c>
      <c r="AW177" s="250">
        <f t="shared" si="37"/>
        <v>1.7069701280227445E-2</v>
      </c>
      <c r="AX177" s="251"/>
      <c r="AY177" s="253">
        <v>43869</v>
      </c>
      <c r="AZ177" s="252">
        <v>3351.28</v>
      </c>
      <c r="BA177" s="250">
        <f t="shared" si="38"/>
        <v>2.4505368191934274E-2</v>
      </c>
    </row>
    <row r="178" spans="3:53" ht="14.25" customHeight="1" x14ac:dyDescent="0.35">
      <c r="C178" s="248" t="s">
        <v>409</v>
      </c>
      <c r="D178" s="249">
        <v>137.66</v>
      </c>
      <c r="E178" s="250">
        <f t="shared" si="26"/>
        <v>1.175951785976781E-2</v>
      </c>
      <c r="G178" s="248" t="s">
        <v>409</v>
      </c>
      <c r="H178" s="136">
        <v>47.24</v>
      </c>
      <c r="I178" s="250">
        <f t="shared" si="27"/>
        <v>-2.5778511033202722E-2</v>
      </c>
      <c r="K178" s="248" t="s">
        <v>409</v>
      </c>
      <c r="L178" s="136">
        <v>30.59</v>
      </c>
      <c r="M178" s="250">
        <f t="shared" si="28"/>
        <v>8.2399472643375216E-3</v>
      </c>
      <c r="O178" s="248" t="s">
        <v>409</v>
      </c>
      <c r="P178" s="136">
        <v>39.24</v>
      </c>
      <c r="Q178" s="250">
        <f t="shared" si="29"/>
        <v>4.8076923076923128E-2</v>
      </c>
      <c r="R178" s="251"/>
      <c r="S178" s="248" t="s">
        <v>409</v>
      </c>
      <c r="T178" s="136">
        <v>50.86</v>
      </c>
      <c r="U178" s="250">
        <f t="shared" si="30"/>
        <v>1.173662223990446E-2</v>
      </c>
      <c r="V178" s="251"/>
      <c r="W178" s="248" t="s">
        <v>409</v>
      </c>
      <c r="X178" s="136">
        <v>68.989999999999995</v>
      </c>
      <c r="Y178" s="250">
        <f t="shared" si="31"/>
        <v>4.5136866627837335E-3</v>
      </c>
      <c r="Z178" s="251"/>
      <c r="AA178" s="248" t="s">
        <v>409</v>
      </c>
      <c r="AB178" s="136">
        <v>34.380000000000003</v>
      </c>
      <c r="AC178" s="250">
        <f t="shared" si="32"/>
        <v>-8.650519031141779E-3</v>
      </c>
      <c r="AD178" s="251"/>
      <c r="AE178" s="248" t="s">
        <v>409</v>
      </c>
      <c r="AF178" s="136">
        <v>55.49</v>
      </c>
      <c r="AG178" s="250">
        <f t="shared" si="33"/>
        <v>1.1299435028248705E-2</v>
      </c>
      <c r="AH178" s="251"/>
      <c r="AI178" s="248" t="s">
        <v>409</v>
      </c>
      <c r="AJ178" s="136">
        <v>145.41</v>
      </c>
      <c r="AK178" s="250">
        <f t="shared" si="34"/>
        <v>-1.8533772652389313E-3</v>
      </c>
      <c r="AL178" s="251"/>
      <c r="AM178" s="248" t="s">
        <v>409</v>
      </c>
      <c r="AN178" s="136">
        <v>49.57</v>
      </c>
      <c r="AO178" s="250">
        <f t="shared" si="35"/>
        <v>3.4412955465588091E-3</v>
      </c>
      <c r="AP178" s="251"/>
      <c r="AQ178" s="248" t="s">
        <v>409</v>
      </c>
      <c r="AR178" s="136">
        <v>178.2</v>
      </c>
      <c r="AS178" s="250">
        <f t="shared" si="36"/>
        <v>-9.1743119266055606E-3</v>
      </c>
      <c r="AT178" s="251"/>
      <c r="AU178" s="248" t="s">
        <v>409</v>
      </c>
      <c r="AV178" s="136">
        <v>63.27</v>
      </c>
      <c r="AW178" s="250">
        <f t="shared" si="37"/>
        <v>-1.4946286781877594E-2</v>
      </c>
      <c r="AX178" s="251"/>
      <c r="AY178" s="248" t="s">
        <v>409</v>
      </c>
      <c r="AZ178" s="252">
        <v>3271.12</v>
      </c>
      <c r="BA178" s="250">
        <f t="shared" si="38"/>
        <v>1.7256338571290719E-2</v>
      </c>
    </row>
    <row r="179" spans="3:53" ht="14.25" customHeight="1" x14ac:dyDescent="0.35">
      <c r="C179" s="248" t="s">
        <v>410</v>
      </c>
      <c r="D179" s="249">
        <v>136.06</v>
      </c>
      <c r="E179" s="250">
        <f t="shared" si="26"/>
        <v>1.0396554284865633E-2</v>
      </c>
      <c r="G179" s="248" t="s">
        <v>410</v>
      </c>
      <c r="H179" s="136">
        <v>48.49</v>
      </c>
      <c r="I179" s="250">
        <f t="shared" si="27"/>
        <v>3.5668517727466931E-2</v>
      </c>
      <c r="K179" s="248" t="s">
        <v>410</v>
      </c>
      <c r="L179" s="136">
        <v>30.34</v>
      </c>
      <c r="M179" s="250">
        <f t="shared" si="28"/>
        <v>1.8804566823371394E-2</v>
      </c>
      <c r="O179" s="248" t="s">
        <v>410</v>
      </c>
      <c r="P179" s="136">
        <v>37.44</v>
      </c>
      <c r="Q179" s="250">
        <f t="shared" si="29"/>
        <v>8.8924818108326864E-3</v>
      </c>
      <c r="R179" s="251"/>
      <c r="S179" s="248" t="s">
        <v>410</v>
      </c>
      <c r="T179" s="136">
        <v>50.27</v>
      </c>
      <c r="U179" s="250">
        <f t="shared" si="30"/>
        <v>7.0112179487180626E-3</v>
      </c>
      <c r="V179" s="251"/>
      <c r="W179" s="248" t="s">
        <v>410</v>
      </c>
      <c r="X179" s="136">
        <v>68.680000000000007</v>
      </c>
      <c r="Y179" s="250">
        <f t="shared" si="31"/>
        <v>7.2854436835223524E-4</v>
      </c>
      <c r="Z179" s="251"/>
      <c r="AA179" s="248" t="s">
        <v>410</v>
      </c>
      <c r="AB179" s="136">
        <v>34.68</v>
      </c>
      <c r="AC179" s="250">
        <f t="shared" si="32"/>
        <v>-9.425878320479808E-3</v>
      </c>
      <c r="AD179" s="251"/>
      <c r="AE179" s="248" t="s">
        <v>410</v>
      </c>
      <c r="AF179" s="136">
        <v>54.87</v>
      </c>
      <c r="AG179" s="250">
        <f t="shared" si="33"/>
        <v>1.4795635287590203E-2</v>
      </c>
      <c r="AH179" s="251"/>
      <c r="AI179" s="248" t="s">
        <v>410</v>
      </c>
      <c r="AJ179" s="136">
        <v>145.68</v>
      </c>
      <c r="AK179" s="250">
        <f t="shared" si="34"/>
        <v>6.803519061583585E-2</v>
      </c>
      <c r="AL179" s="251"/>
      <c r="AM179" s="248" t="s">
        <v>410</v>
      </c>
      <c r="AN179" s="136">
        <v>49.4</v>
      </c>
      <c r="AO179" s="250">
        <f t="shared" si="35"/>
        <v>-4.0322580645162365E-3</v>
      </c>
      <c r="AP179" s="251"/>
      <c r="AQ179" s="248" t="s">
        <v>410</v>
      </c>
      <c r="AR179" s="136">
        <v>179.85</v>
      </c>
      <c r="AS179" s="250">
        <f t="shared" si="36"/>
        <v>-4.2079619068712271E-3</v>
      </c>
      <c r="AT179" s="251"/>
      <c r="AU179" s="248" t="s">
        <v>410</v>
      </c>
      <c r="AV179" s="136">
        <v>64.23</v>
      </c>
      <c r="AW179" s="250">
        <f t="shared" si="37"/>
        <v>-6.3428217821781541E-3</v>
      </c>
      <c r="AX179" s="251"/>
      <c r="AY179" s="248" t="s">
        <v>410</v>
      </c>
      <c r="AZ179" s="252">
        <v>3215.63</v>
      </c>
      <c r="BA179" s="250">
        <f t="shared" si="38"/>
        <v>-2.8219416819392773E-3</v>
      </c>
    </row>
    <row r="180" spans="3:53" ht="14.25" customHeight="1" x14ac:dyDescent="0.35">
      <c r="C180" s="253">
        <v>44172</v>
      </c>
      <c r="D180" s="249">
        <v>134.66</v>
      </c>
      <c r="E180" s="250">
        <f t="shared" si="26"/>
        <v>1.4874312063066775E-3</v>
      </c>
      <c r="G180" s="253">
        <v>44172</v>
      </c>
      <c r="H180" s="136">
        <v>46.82</v>
      </c>
      <c r="I180" s="250">
        <f t="shared" si="27"/>
        <v>3.6987818383167337E-2</v>
      </c>
      <c r="K180" s="253">
        <v>44172</v>
      </c>
      <c r="L180" s="136">
        <v>29.78</v>
      </c>
      <c r="M180" s="250">
        <f t="shared" si="28"/>
        <v>1.9863013698630194E-2</v>
      </c>
      <c r="O180" s="253">
        <v>44172</v>
      </c>
      <c r="P180" s="136">
        <v>37.11</v>
      </c>
      <c r="Q180" s="250">
        <f t="shared" si="29"/>
        <v>3.5724253418922824E-2</v>
      </c>
      <c r="R180" s="251"/>
      <c r="S180" s="253">
        <v>44172</v>
      </c>
      <c r="T180" s="136">
        <v>49.92</v>
      </c>
      <c r="U180" s="250">
        <f t="shared" si="30"/>
        <v>3.5684647302904438E-2</v>
      </c>
      <c r="V180" s="251"/>
      <c r="W180" s="253">
        <v>44172</v>
      </c>
      <c r="X180" s="136">
        <v>68.63</v>
      </c>
      <c r="Y180" s="250">
        <f t="shared" si="31"/>
        <v>2.1431760678672473E-2</v>
      </c>
      <c r="Z180" s="251"/>
      <c r="AA180" s="253">
        <v>44172</v>
      </c>
      <c r="AB180" s="136">
        <v>35.01</v>
      </c>
      <c r="AC180" s="250">
        <f t="shared" si="32"/>
        <v>8.457249070631967E-2</v>
      </c>
      <c r="AD180" s="251"/>
      <c r="AE180" s="253">
        <v>44172</v>
      </c>
      <c r="AF180" s="136">
        <v>54.07</v>
      </c>
      <c r="AG180" s="250">
        <f t="shared" si="33"/>
        <v>5.1127527216174196E-2</v>
      </c>
      <c r="AH180" s="251"/>
      <c r="AI180" s="253">
        <v>44172</v>
      </c>
      <c r="AJ180" s="136">
        <v>136.4</v>
      </c>
      <c r="AK180" s="250">
        <f t="shared" si="34"/>
        <v>6.7710371819960979E-2</v>
      </c>
      <c r="AL180" s="251"/>
      <c r="AM180" s="253">
        <v>44172</v>
      </c>
      <c r="AN180" s="136">
        <v>49.6</v>
      </c>
      <c r="AO180" s="250">
        <f t="shared" si="35"/>
        <v>-1.352426412092278E-2</v>
      </c>
      <c r="AP180" s="251"/>
      <c r="AQ180" s="253">
        <v>44172</v>
      </c>
      <c r="AR180" s="136">
        <v>180.61</v>
      </c>
      <c r="AS180" s="250">
        <f t="shared" si="36"/>
        <v>-2.3360190342291642E-2</v>
      </c>
      <c r="AT180" s="251"/>
      <c r="AU180" s="253">
        <v>44172</v>
      </c>
      <c r="AV180" s="136">
        <v>64.64</v>
      </c>
      <c r="AW180" s="250">
        <f t="shared" si="37"/>
        <v>1.7151848937844161E-2</v>
      </c>
      <c r="AX180" s="251"/>
      <c r="AY180" s="253">
        <v>44172</v>
      </c>
      <c r="AZ180" s="252">
        <v>3224.73</v>
      </c>
      <c r="BA180" s="250">
        <f t="shared" si="38"/>
        <v>1.246138196066604E-2</v>
      </c>
    </row>
    <row r="181" spans="3:53" ht="14.25" customHeight="1" x14ac:dyDescent="0.35">
      <c r="C181" s="253">
        <v>43958</v>
      </c>
      <c r="D181" s="249">
        <v>134.46</v>
      </c>
      <c r="E181" s="250">
        <f t="shared" si="26"/>
        <v>1.2118931125329357E-2</v>
      </c>
      <c r="G181" s="253">
        <v>43958</v>
      </c>
      <c r="H181" s="136">
        <v>45.15</v>
      </c>
      <c r="I181" s="250">
        <f t="shared" si="27"/>
        <v>6.0160427807485206E-3</v>
      </c>
      <c r="K181" s="253">
        <v>43958</v>
      </c>
      <c r="L181" s="136">
        <v>29.2</v>
      </c>
      <c r="M181" s="250">
        <f t="shared" si="28"/>
        <v>2.348405187521907E-2</v>
      </c>
      <c r="O181" s="253">
        <v>43958</v>
      </c>
      <c r="P181" s="136">
        <v>35.83</v>
      </c>
      <c r="Q181" s="250">
        <f t="shared" si="29"/>
        <v>3.4652035807103632E-2</v>
      </c>
      <c r="R181" s="251"/>
      <c r="S181" s="253">
        <v>43958</v>
      </c>
      <c r="T181" s="136">
        <v>48.2</v>
      </c>
      <c r="U181" s="250">
        <f t="shared" si="30"/>
        <v>2.4958402662229595E-3</v>
      </c>
      <c r="V181" s="251"/>
      <c r="W181" s="253">
        <v>43958</v>
      </c>
      <c r="X181" s="136">
        <v>67.19</v>
      </c>
      <c r="Y181" s="250">
        <f t="shared" si="31"/>
        <v>1.327099984919311E-2</v>
      </c>
      <c r="Z181" s="251"/>
      <c r="AA181" s="253">
        <v>43958</v>
      </c>
      <c r="AB181" s="136">
        <v>32.28</v>
      </c>
      <c r="AC181" s="250">
        <f t="shared" si="32"/>
        <v>1.4775227915749811E-2</v>
      </c>
      <c r="AD181" s="251"/>
      <c r="AE181" s="253">
        <v>43958</v>
      </c>
      <c r="AF181" s="136">
        <v>51.44</v>
      </c>
      <c r="AG181" s="250">
        <f t="shared" si="33"/>
        <v>-9.7106234220245558E-4</v>
      </c>
      <c r="AH181" s="251"/>
      <c r="AI181" s="253">
        <v>43958</v>
      </c>
      <c r="AJ181" s="136">
        <v>127.75</v>
      </c>
      <c r="AK181" s="250">
        <f t="shared" si="34"/>
        <v>-1.6248267364854518E-2</v>
      </c>
      <c r="AL181" s="251"/>
      <c r="AM181" s="253">
        <v>43958</v>
      </c>
      <c r="AN181" s="136">
        <v>50.28</v>
      </c>
      <c r="AO181" s="250">
        <f t="shared" si="35"/>
        <v>1.9464720194647178E-2</v>
      </c>
      <c r="AP181" s="251"/>
      <c r="AQ181" s="253">
        <v>43958</v>
      </c>
      <c r="AR181" s="136">
        <v>184.93</v>
      </c>
      <c r="AS181" s="250">
        <f t="shared" si="36"/>
        <v>-4.6824542518837386E-3</v>
      </c>
      <c r="AT181" s="251"/>
      <c r="AU181" s="253">
        <v>43958</v>
      </c>
      <c r="AV181" s="136">
        <v>63.55</v>
      </c>
      <c r="AW181" s="250">
        <f t="shared" si="37"/>
        <v>3.3669486011711047E-2</v>
      </c>
      <c r="AX181" s="251"/>
      <c r="AY181" s="253">
        <v>43958</v>
      </c>
      <c r="AZ181" s="252">
        <v>3185.04</v>
      </c>
      <c r="BA181" s="250">
        <f t="shared" si="38"/>
        <v>1.75814134779122E-2</v>
      </c>
    </row>
    <row r="182" spans="3:53" ht="14.25" customHeight="1" x14ac:dyDescent="0.35">
      <c r="C182" s="248" t="s">
        <v>411</v>
      </c>
      <c r="D182" s="249">
        <v>132.85</v>
      </c>
      <c r="E182" s="250">
        <f t="shared" si="26"/>
        <v>3.0404095245482043E-2</v>
      </c>
      <c r="G182" s="248" t="s">
        <v>411</v>
      </c>
      <c r="H182" s="136">
        <v>44.88</v>
      </c>
      <c r="I182" s="250">
        <f t="shared" si="27"/>
        <v>3.0066559559329908E-2</v>
      </c>
      <c r="K182" s="248" t="s">
        <v>411</v>
      </c>
      <c r="L182" s="136">
        <v>28.53</v>
      </c>
      <c r="M182" s="250">
        <f t="shared" si="28"/>
        <v>1.0985116938341699E-2</v>
      </c>
      <c r="O182" s="248" t="s">
        <v>411</v>
      </c>
      <c r="P182" s="136">
        <v>34.630000000000003</v>
      </c>
      <c r="Q182" s="250">
        <f t="shared" si="29"/>
        <v>2.0029455081001402E-2</v>
      </c>
      <c r="R182" s="251"/>
      <c r="S182" s="248" t="s">
        <v>411</v>
      </c>
      <c r="T182" s="136">
        <v>48.08</v>
      </c>
      <c r="U182" s="250">
        <f t="shared" si="30"/>
        <v>-2.6965359883841522E-3</v>
      </c>
      <c r="V182" s="251"/>
      <c r="W182" s="248" t="s">
        <v>411</v>
      </c>
      <c r="X182" s="136">
        <v>66.31</v>
      </c>
      <c r="Y182" s="250">
        <f t="shared" si="31"/>
        <v>3.8365173817726417E-2</v>
      </c>
      <c r="Z182" s="251"/>
      <c r="AA182" s="248" t="s">
        <v>411</v>
      </c>
      <c r="AB182" s="136">
        <v>31.81</v>
      </c>
      <c r="AC182" s="250">
        <f t="shared" si="32"/>
        <v>2.9449838187702193E-2</v>
      </c>
      <c r="AD182" s="251"/>
      <c r="AE182" s="248" t="s">
        <v>411</v>
      </c>
      <c r="AF182" s="136">
        <v>51.49</v>
      </c>
      <c r="AG182" s="250">
        <f t="shared" si="33"/>
        <v>2.8154952076677286E-2</v>
      </c>
      <c r="AH182" s="251"/>
      <c r="AI182" s="248" t="s">
        <v>411</v>
      </c>
      <c r="AJ182" s="136">
        <v>129.86000000000001</v>
      </c>
      <c r="AK182" s="250">
        <f t="shared" si="34"/>
        <v>3.1863329360349857E-2</v>
      </c>
      <c r="AL182" s="251"/>
      <c r="AM182" s="248" t="s">
        <v>411</v>
      </c>
      <c r="AN182" s="136">
        <v>49.32</v>
      </c>
      <c r="AO182" s="250">
        <f t="shared" si="35"/>
        <v>1.9008264462810009E-2</v>
      </c>
      <c r="AP182" s="251"/>
      <c r="AQ182" s="248" t="s">
        <v>411</v>
      </c>
      <c r="AR182" s="136">
        <v>185.8</v>
      </c>
      <c r="AS182" s="250">
        <f t="shared" si="36"/>
        <v>9.9473341617847266E-2</v>
      </c>
      <c r="AT182" s="251"/>
      <c r="AU182" s="248" t="s">
        <v>411</v>
      </c>
      <c r="AV182" s="136">
        <v>61.48</v>
      </c>
      <c r="AW182" s="250">
        <f t="shared" si="37"/>
        <v>3.8338118561053847E-2</v>
      </c>
      <c r="AX182" s="251"/>
      <c r="AY182" s="248" t="s">
        <v>411</v>
      </c>
      <c r="AZ182" s="252">
        <v>3130.01</v>
      </c>
      <c r="BA182" s="250">
        <f t="shared" si="38"/>
        <v>4.0198733819644117E-2</v>
      </c>
    </row>
    <row r="183" spans="3:53" ht="14.25" customHeight="1" x14ac:dyDescent="0.35">
      <c r="C183" s="248" t="s">
        <v>412</v>
      </c>
      <c r="D183" s="249">
        <v>128.93</v>
      </c>
      <c r="E183" s="250">
        <f t="shared" si="26"/>
        <v>-1.7900670322973711E-2</v>
      </c>
      <c r="G183" s="248" t="s">
        <v>412</v>
      </c>
      <c r="H183" s="136">
        <v>43.57</v>
      </c>
      <c r="I183" s="250">
        <f t="shared" si="27"/>
        <v>-5.3237722729248205E-2</v>
      </c>
      <c r="K183" s="248" t="s">
        <v>412</v>
      </c>
      <c r="L183" s="136">
        <v>28.22</v>
      </c>
      <c r="M183" s="250">
        <f t="shared" si="28"/>
        <v>-1.7067223963775802E-2</v>
      </c>
      <c r="O183" s="248" t="s">
        <v>412</v>
      </c>
      <c r="P183" s="136">
        <v>33.950000000000003</v>
      </c>
      <c r="Q183" s="250">
        <f t="shared" si="29"/>
        <v>-3.1107305936072915E-2</v>
      </c>
      <c r="R183" s="251"/>
      <c r="S183" s="248" t="s">
        <v>412</v>
      </c>
      <c r="T183" s="136">
        <v>48.21</v>
      </c>
      <c r="U183" s="250">
        <f t="shared" si="30"/>
        <v>-7.0030895983521635E-3</v>
      </c>
      <c r="V183" s="251"/>
      <c r="W183" s="248" t="s">
        <v>412</v>
      </c>
      <c r="X183" s="136">
        <v>63.86</v>
      </c>
      <c r="Y183" s="250">
        <f t="shared" si="31"/>
        <v>-5.7834169371495991E-2</v>
      </c>
      <c r="Z183" s="251"/>
      <c r="AA183" s="248" t="s">
        <v>412</v>
      </c>
      <c r="AB183" s="136">
        <v>30.9</v>
      </c>
      <c r="AC183" s="250">
        <f t="shared" si="32"/>
        <v>-7.7060931899641583E-2</v>
      </c>
      <c r="AD183" s="251"/>
      <c r="AE183" s="248" t="s">
        <v>412</v>
      </c>
      <c r="AF183" s="136">
        <v>50.08</v>
      </c>
      <c r="AG183" s="250">
        <f t="shared" si="33"/>
        <v>-4.7184170471841758E-2</v>
      </c>
      <c r="AH183" s="251"/>
      <c r="AI183" s="248" t="s">
        <v>412</v>
      </c>
      <c r="AJ183" s="136">
        <v>125.85</v>
      </c>
      <c r="AK183" s="250">
        <f t="shared" si="34"/>
        <v>-2.7809965237543421E-2</v>
      </c>
      <c r="AL183" s="251"/>
      <c r="AM183" s="248" t="s">
        <v>412</v>
      </c>
      <c r="AN183" s="136">
        <v>48.4</v>
      </c>
      <c r="AO183" s="250">
        <f t="shared" si="35"/>
        <v>-1.505901505901508E-2</v>
      </c>
      <c r="AP183" s="251"/>
      <c r="AQ183" s="248" t="s">
        <v>412</v>
      </c>
      <c r="AR183" s="136">
        <v>168.99</v>
      </c>
      <c r="AS183" s="250">
        <f t="shared" si="36"/>
        <v>-6.8463701008764644E-2</v>
      </c>
      <c r="AT183" s="251"/>
      <c r="AU183" s="248" t="s">
        <v>412</v>
      </c>
      <c r="AV183" s="136">
        <v>59.21</v>
      </c>
      <c r="AW183" s="250">
        <f t="shared" si="37"/>
        <v>-3.8486521597921319E-2</v>
      </c>
      <c r="AX183" s="251"/>
      <c r="AY183" s="248" t="s">
        <v>412</v>
      </c>
      <c r="AZ183" s="252">
        <v>3009.05</v>
      </c>
      <c r="BA183" s="250">
        <f t="shared" si="38"/>
        <v>-2.8630550013880929E-2</v>
      </c>
    </row>
    <row r="184" spans="3:53" ht="14.25" customHeight="1" x14ac:dyDescent="0.35">
      <c r="C184" s="248" t="s">
        <v>413</v>
      </c>
      <c r="D184" s="249">
        <v>131.28</v>
      </c>
      <c r="E184" s="250">
        <f t="shared" si="26"/>
        <v>1.7674418604651132E-2</v>
      </c>
      <c r="G184" s="248" t="s">
        <v>413</v>
      </c>
      <c r="H184" s="136">
        <v>46.02</v>
      </c>
      <c r="I184" s="250">
        <f t="shared" si="27"/>
        <v>9.2105263157895578E-3</v>
      </c>
      <c r="K184" s="248" t="s">
        <v>413</v>
      </c>
      <c r="L184" s="136">
        <v>28.71</v>
      </c>
      <c r="M184" s="250">
        <f t="shared" si="28"/>
        <v>2.0981507823613077E-2</v>
      </c>
      <c r="O184" s="248" t="s">
        <v>413</v>
      </c>
      <c r="P184" s="136">
        <v>35.04</v>
      </c>
      <c r="Q184" s="250">
        <f t="shared" si="29"/>
        <v>2.6061493411420278E-2</v>
      </c>
      <c r="R184" s="251"/>
      <c r="S184" s="248" t="s">
        <v>413</v>
      </c>
      <c r="T184" s="136">
        <v>48.55</v>
      </c>
      <c r="U184" s="250">
        <f t="shared" si="30"/>
        <v>4.0282836940218392E-2</v>
      </c>
      <c r="V184" s="251"/>
      <c r="W184" s="248" t="s">
        <v>413</v>
      </c>
      <c r="X184" s="136">
        <v>67.78</v>
      </c>
      <c r="Y184" s="250">
        <f t="shared" si="31"/>
        <v>6.589086334329286E-2</v>
      </c>
      <c r="Z184" s="251"/>
      <c r="AA184" s="248" t="s">
        <v>413</v>
      </c>
      <c r="AB184" s="136">
        <v>33.479999999999997</v>
      </c>
      <c r="AC184" s="250">
        <f t="shared" si="32"/>
        <v>5.2830188679245271E-2</v>
      </c>
      <c r="AD184" s="251"/>
      <c r="AE184" s="248" t="s">
        <v>413</v>
      </c>
      <c r="AF184" s="136">
        <v>52.56</v>
      </c>
      <c r="AG184" s="250">
        <f t="shared" si="33"/>
        <v>3.6073329390893027E-2</v>
      </c>
      <c r="AH184" s="251"/>
      <c r="AI184" s="248" t="s">
        <v>413</v>
      </c>
      <c r="AJ184" s="136">
        <v>129.44999999999999</v>
      </c>
      <c r="AK184" s="250">
        <f t="shared" si="34"/>
        <v>2.6334133684453587E-3</v>
      </c>
      <c r="AL184" s="251"/>
      <c r="AM184" s="248" t="s">
        <v>413</v>
      </c>
      <c r="AN184" s="136">
        <v>49.14</v>
      </c>
      <c r="AO184" s="250">
        <f t="shared" si="35"/>
        <v>4.3977055449330837E-2</v>
      </c>
      <c r="AP184" s="251"/>
      <c r="AQ184" s="248" t="s">
        <v>413</v>
      </c>
      <c r="AR184" s="136">
        <v>181.41</v>
      </c>
      <c r="AS184" s="250">
        <f t="shared" si="36"/>
        <v>6.5362931642001465E-2</v>
      </c>
      <c r="AT184" s="251"/>
      <c r="AU184" s="248" t="s">
        <v>413</v>
      </c>
      <c r="AV184" s="136">
        <v>61.58</v>
      </c>
      <c r="AW184" s="250">
        <f t="shared" si="37"/>
        <v>2.3773898586866071E-2</v>
      </c>
      <c r="AX184" s="251"/>
      <c r="AY184" s="248" t="s">
        <v>413</v>
      </c>
      <c r="AZ184" s="252">
        <v>3097.74</v>
      </c>
      <c r="BA184" s="250">
        <f t="shared" si="38"/>
        <v>1.8554504473401234E-2</v>
      </c>
    </row>
    <row r="185" spans="3:53" ht="14.25" customHeight="1" x14ac:dyDescent="0.35">
      <c r="C185" s="253">
        <v>44018</v>
      </c>
      <c r="D185" s="249">
        <v>129</v>
      </c>
      <c r="E185" s="250">
        <f t="shared" si="26"/>
        <v>-2.5974025974025983E-2</v>
      </c>
      <c r="G185" s="253">
        <v>44018</v>
      </c>
      <c r="H185" s="136">
        <v>45.6</v>
      </c>
      <c r="I185" s="250">
        <f t="shared" si="27"/>
        <v>-7.1093909146465739E-2</v>
      </c>
      <c r="K185" s="253">
        <v>44018</v>
      </c>
      <c r="L185" s="136">
        <v>28.12</v>
      </c>
      <c r="M185" s="250">
        <f t="shared" si="28"/>
        <v>-1.9867549668874163E-2</v>
      </c>
      <c r="O185" s="253">
        <v>44018</v>
      </c>
      <c r="P185" s="136">
        <v>34.15</v>
      </c>
      <c r="Q185" s="250">
        <f t="shared" si="29"/>
        <v>-5.4540420819490509E-2</v>
      </c>
      <c r="R185" s="251"/>
      <c r="S185" s="253">
        <v>44018</v>
      </c>
      <c r="T185" s="136">
        <v>46.67</v>
      </c>
      <c r="U185" s="250">
        <f t="shared" si="30"/>
        <v>-2.7708333333333335E-2</v>
      </c>
      <c r="V185" s="251"/>
      <c r="W185" s="253">
        <v>44018</v>
      </c>
      <c r="X185" s="136">
        <v>63.59</v>
      </c>
      <c r="Y185" s="250">
        <f t="shared" si="31"/>
        <v>-3.093569033831145E-2</v>
      </c>
      <c r="Z185" s="251"/>
      <c r="AA185" s="253">
        <v>44018</v>
      </c>
      <c r="AB185" s="136">
        <v>31.8</v>
      </c>
      <c r="AC185" s="250">
        <f t="shared" si="32"/>
        <v>-2.513795217657866E-2</v>
      </c>
      <c r="AD185" s="251"/>
      <c r="AE185" s="253">
        <v>44018</v>
      </c>
      <c r="AF185" s="136">
        <v>50.73</v>
      </c>
      <c r="AG185" s="250">
        <f t="shared" si="33"/>
        <v>-3.4266133637921303E-2</v>
      </c>
      <c r="AH185" s="251"/>
      <c r="AI185" s="253">
        <v>44018</v>
      </c>
      <c r="AJ185" s="136">
        <v>129.11000000000001</v>
      </c>
      <c r="AK185" s="250">
        <f t="shared" si="34"/>
        <v>-4.6736562315416341E-2</v>
      </c>
      <c r="AL185" s="251"/>
      <c r="AM185" s="253">
        <v>44018</v>
      </c>
      <c r="AN185" s="136">
        <v>47.07</v>
      </c>
      <c r="AO185" s="250">
        <f t="shared" si="35"/>
        <v>-2.3038605230386033E-2</v>
      </c>
      <c r="AP185" s="251"/>
      <c r="AQ185" s="253">
        <v>44018</v>
      </c>
      <c r="AR185" s="136">
        <v>170.28</v>
      </c>
      <c r="AS185" s="250">
        <f t="shared" si="36"/>
        <v>-6.1404475802006364E-2</v>
      </c>
      <c r="AT185" s="251"/>
      <c r="AU185" s="253">
        <v>44018</v>
      </c>
      <c r="AV185" s="136">
        <v>60.15</v>
      </c>
      <c r="AW185" s="250">
        <f t="shared" si="37"/>
        <v>-1.3934426229508245E-2</v>
      </c>
      <c r="AX185" s="251"/>
      <c r="AY185" s="253">
        <v>44018</v>
      </c>
      <c r="AZ185" s="252">
        <v>3041.31</v>
      </c>
      <c r="BA185" s="250">
        <f t="shared" si="38"/>
        <v>-4.7784391016709837E-2</v>
      </c>
    </row>
    <row r="186" spans="3:53" ht="14.25" customHeight="1" x14ac:dyDescent="0.35">
      <c r="C186" s="248" t="s">
        <v>414</v>
      </c>
      <c r="D186" s="249">
        <v>132.44</v>
      </c>
      <c r="E186" s="250">
        <f t="shared" si="26"/>
        <v>6.7654884074495047E-3</v>
      </c>
      <c r="G186" s="248" t="s">
        <v>414</v>
      </c>
      <c r="H186" s="136">
        <v>49.09</v>
      </c>
      <c r="I186" s="250">
        <f t="shared" si="27"/>
        <v>5.1628106255355632E-2</v>
      </c>
      <c r="K186" s="248" t="s">
        <v>414</v>
      </c>
      <c r="L186" s="136">
        <v>28.69</v>
      </c>
      <c r="M186" s="250">
        <f t="shared" si="28"/>
        <v>2.7578796561604557E-2</v>
      </c>
      <c r="O186" s="248" t="s">
        <v>414</v>
      </c>
      <c r="P186" s="136">
        <v>36.119999999999997</v>
      </c>
      <c r="Q186" s="250">
        <f t="shared" si="29"/>
        <v>4.7287899860917193E-3</v>
      </c>
      <c r="R186" s="251"/>
      <c r="S186" s="248" t="s">
        <v>414</v>
      </c>
      <c r="T186" s="136">
        <v>48</v>
      </c>
      <c r="U186" s="250">
        <f t="shared" si="30"/>
        <v>-1.6997747286504161E-2</v>
      </c>
      <c r="V186" s="251"/>
      <c r="W186" s="248" t="s">
        <v>414</v>
      </c>
      <c r="X186" s="136">
        <v>65.62</v>
      </c>
      <c r="Y186" s="250">
        <f t="shared" si="31"/>
        <v>4.7465931710304332E-3</v>
      </c>
      <c r="Z186" s="251"/>
      <c r="AA186" s="248" t="s">
        <v>414</v>
      </c>
      <c r="AB186" s="136">
        <v>32.619999999999997</v>
      </c>
      <c r="AC186" s="250">
        <f t="shared" si="32"/>
        <v>7.0561207745323262E-2</v>
      </c>
      <c r="AD186" s="251"/>
      <c r="AE186" s="248" t="s">
        <v>414</v>
      </c>
      <c r="AF186" s="136">
        <v>52.53</v>
      </c>
      <c r="AG186" s="250">
        <f t="shared" si="33"/>
        <v>7.8664620107444794E-3</v>
      </c>
      <c r="AH186" s="251"/>
      <c r="AI186" s="248" t="s">
        <v>414</v>
      </c>
      <c r="AJ186" s="136">
        <v>135.44</v>
      </c>
      <c r="AK186" s="250">
        <f t="shared" si="34"/>
        <v>-1.7688679245283501E-3</v>
      </c>
      <c r="AL186" s="251"/>
      <c r="AM186" s="248" t="s">
        <v>414</v>
      </c>
      <c r="AN186" s="136">
        <v>48.18</v>
      </c>
      <c r="AO186" s="250">
        <f t="shared" si="35"/>
        <v>-5.4923499411533849E-2</v>
      </c>
      <c r="AP186" s="251"/>
      <c r="AQ186" s="248" t="s">
        <v>414</v>
      </c>
      <c r="AR186" s="136">
        <v>181.42</v>
      </c>
      <c r="AS186" s="250">
        <f t="shared" si="36"/>
        <v>5.0492182976259459E-2</v>
      </c>
      <c r="AT186" s="251"/>
      <c r="AU186" s="248" t="s">
        <v>414</v>
      </c>
      <c r="AV186" s="136">
        <v>61</v>
      </c>
      <c r="AW186" s="250">
        <f t="shared" si="37"/>
        <v>-3.2360406091370586E-2</v>
      </c>
      <c r="AX186" s="251"/>
      <c r="AY186" s="248" t="s">
        <v>414</v>
      </c>
      <c r="AZ186" s="252">
        <v>3193.93</v>
      </c>
      <c r="BA186" s="250">
        <f t="shared" si="38"/>
        <v>4.9147425853477422E-2</v>
      </c>
    </row>
    <row r="187" spans="3:53" ht="14.25" customHeight="1" x14ac:dyDescent="0.35">
      <c r="C187" s="248" t="s">
        <v>415</v>
      </c>
      <c r="D187" s="249">
        <v>131.55000000000001</v>
      </c>
      <c r="E187" s="250">
        <f t="shared" si="26"/>
        <v>8.2004904966279657E-3</v>
      </c>
      <c r="G187" s="248" t="s">
        <v>415</v>
      </c>
      <c r="H187" s="136">
        <v>46.68</v>
      </c>
      <c r="I187" s="250">
        <f t="shared" si="27"/>
        <v>3.6642238507661462E-2</v>
      </c>
      <c r="K187" s="248" t="s">
        <v>415</v>
      </c>
      <c r="L187" s="136">
        <v>27.92</v>
      </c>
      <c r="M187" s="250">
        <f t="shared" si="28"/>
        <v>2.7982326951399239E-2</v>
      </c>
      <c r="O187" s="248" t="s">
        <v>415</v>
      </c>
      <c r="P187" s="136">
        <v>35.950000000000003</v>
      </c>
      <c r="Q187" s="250">
        <f t="shared" si="29"/>
        <v>4.6579330422125143E-2</v>
      </c>
      <c r="R187" s="251"/>
      <c r="S187" s="248" t="s">
        <v>415</v>
      </c>
      <c r="T187" s="136">
        <v>48.83</v>
      </c>
      <c r="U187" s="250">
        <f t="shared" si="30"/>
        <v>4.0485829959514108E-2</v>
      </c>
      <c r="V187" s="251"/>
      <c r="W187" s="248" t="s">
        <v>415</v>
      </c>
      <c r="X187" s="136">
        <v>65.31</v>
      </c>
      <c r="Y187" s="250">
        <f t="shared" si="31"/>
        <v>5.1860202931228949E-2</v>
      </c>
      <c r="Z187" s="251"/>
      <c r="AA187" s="248" t="s">
        <v>415</v>
      </c>
      <c r="AB187" s="136">
        <v>30.47</v>
      </c>
      <c r="AC187" s="250">
        <f t="shared" si="32"/>
        <v>1.7362270450751227E-2</v>
      </c>
      <c r="AD187" s="251"/>
      <c r="AE187" s="248" t="s">
        <v>415</v>
      </c>
      <c r="AF187" s="136">
        <v>52.12</v>
      </c>
      <c r="AG187" s="250">
        <f t="shared" si="33"/>
        <v>4.8692152917504838E-2</v>
      </c>
      <c r="AH187" s="251"/>
      <c r="AI187" s="248" t="s">
        <v>415</v>
      </c>
      <c r="AJ187" s="136">
        <v>135.68</v>
      </c>
      <c r="AK187" s="250">
        <f t="shared" si="34"/>
        <v>4.1609089513281239E-2</v>
      </c>
      <c r="AL187" s="251"/>
      <c r="AM187" s="248" t="s">
        <v>415</v>
      </c>
      <c r="AN187" s="136">
        <v>50.98</v>
      </c>
      <c r="AO187" s="250">
        <f t="shared" si="35"/>
        <v>5.4395036194415658E-2</v>
      </c>
      <c r="AP187" s="251"/>
      <c r="AQ187" s="248" t="s">
        <v>415</v>
      </c>
      <c r="AR187" s="136">
        <v>172.7</v>
      </c>
      <c r="AS187" s="250">
        <f t="shared" si="36"/>
        <v>2.2633625442516347E-3</v>
      </c>
      <c r="AT187" s="251"/>
      <c r="AU187" s="248" t="s">
        <v>415</v>
      </c>
      <c r="AV187" s="136">
        <v>63.04</v>
      </c>
      <c r="AW187" s="250">
        <f t="shared" si="37"/>
        <v>5.1367578385590473E-2</v>
      </c>
      <c r="AX187" s="251"/>
      <c r="AY187" s="248" t="s">
        <v>415</v>
      </c>
      <c r="AZ187" s="252">
        <v>3044.31</v>
      </c>
      <c r="BA187" s="250">
        <f t="shared" si="38"/>
        <v>3.0066487336953829E-2</v>
      </c>
    </row>
    <row r="188" spans="3:53" ht="14.25" customHeight="1" x14ac:dyDescent="0.35">
      <c r="C188" s="248" t="s">
        <v>416</v>
      </c>
      <c r="D188" s="249">
        <v>130.47999999999999</v>
      </c>
      <c r="E188" s="250">
        <f t="shared" si="26"/>
        <v>-4.0235380654652486E-2</v>
      </c>
      <c r="G188" s="248" t="s">
        <v>416</v>
      </c>
      <c r="H188" s="136">
        <v>45.03</v>
      </c>
      <c r="I188" s="250">
        <f t="shared" si="27"/>
        <v>4.0915395284327305E-2</v>
      </c>
      <c r="K188" s="248" t="s">
        <v>416</v>
      </c>
      <c r="L188" s="136">
        <v>27.16</v>
      </c>
      <c r="M188" s="250">
        <f t="shared" si="28"/>
        <v>3.2699619771863198E-2</v>
      </c>
      <c r="O188" s="248" t="s">
        <v>416</v>
      </c>
      <c r="P188" s="136">
        <v>34.35</v>
      </c>
      <c r="Q188" s="250">
        <f t="shared" si="29"/>
        <v>4.0593759466828416E-2</v>
      </c>
      <c r="R188" s="251"/>
      <c r="S188" s="248" t="s">
        <v>416</v>
      </c>
      <c r="T188" s="136">
        <v>46.93</v>
      </c>
      <c r="U188" s="250">
        <f t="shared" si="30"/>
        <v>-2.0659432387312271E-2</v>
      </c>
      <c r="V188" s="251"/>
      <c r="W188" s="248" t="s">
        <v>416</v>
      </c>
      <c r="X188" s="136">
        <v>62.09</v>
      </c>
      <c r="Y188" s="250">
        <f t="shared" si="31"/>
        <v>-3.0903699079132041E-2</v>
      </c>
      <c r="Z188" s="251"/>
      <c r="AA188" s="248" t="s">
        <v>416</v>
      </c>
      <c r="AB188" s="136">
        <v>29.95</v>
      </c>
      <c r="AC188" s="250">
        <f t="shared" si="32"/>
        <v>2.5684931506849251E-2</v>
      </c>
      <c r="AD188" s="251"/>
      <c r="AE188" s="248" t="s">
        <v>416</v>
      </c>
      <c r="AF188" s="136">
        <v>49.7</v>
      </c>
      <c r="AG188" s="250">
        <f t="shared" si="33"/>
        <v>-5.2041633306645352E-3</v>
      </c>
      <c r="AH188" s="251"/>
      <c r="AI188" s="248" t="s">
        <v>416</v>
      </c>
      <c r="AJ188" s="136">
        <v>130.26</v>
      </c>
      <c r="AK188" s="250">
        <f t="shared" si="34"/>
        <v>-9.2038656235626792E-4</v>
      </c>
      <c r="AL188" s="251"/>
      <c r="AM188" s="248" t="s">
        <v>416</v>
      </c>
      <c r="AN188" s="136">
        <v>48.35</v>
      </c>
      <c r="AO188" s="250">
        <f t="shared" si="35"/>
        <v>-9.6768167382776049E-2</v>
      </c>
      <c r="AP188" s="251"/>
      <c r="AQ188" s="248" t="s">
        <v>416</v>
      </c>
      <c r="AR188" s="136">
        <v>172.31</v>
      </c>
      <c r="AS188" s="250">
        <f t="shared" si="36"/>
        <v>8.7197930468799312E-2</v>
      </c>
      <c r="AT188" s="251"/>
      <c r="AU188" s="248" t="s">
        <v>416</v>
      </c>
      <c r="AV188" s="136">
        <v>59.96</v>
      </c>
      <c r="AW188" s="250">
        <f t="shared" si="37"/>
        <v>-4.0486477836453871E-2</v>
      </c>
      <c r="AX188" s="251"/>
      <c r="AY188" s="248" t="s">
        <v>416</v>
      </c>
      <c r="AZ188" s="252">
        <v>2955.45</v>
      </c>
      <c r="BA188" s="250">
        <f t="shared" si="38"/>
        <v>3.2038970562558999E-2</v>
      </c>
    </row>
    <row r="189" spans="3:53" ht="14.25" customHeight="1" x14ac:dyDescent="0.35">
      <c r="C189" s="253">
        <v>44109</v>
      </c>
      <c r="D189" s="249">
        <v>135.94999999999999</v>
      </c>
      <c r="E189" s="250">
        <f t="shared" si="26"/>
        <v>1.2813827013335333E-2</v>
      </c>
      <c r="G189" s="253">
        <v>44109</v>
      </c>
      <c r="H189" s="136">
        <v>43.26</v>
      </c>
      <c r="I189" s="250">
        <f t="shared" si="27"/>
        <v>-6.1808718282368336E-2</v>
      </c>
      <c r="K189" s="253">
        <v>44109</v>
      </c>
      <c r="L189" s="136">
        <v>26.3</v>
      </c>
      <c r="M189" s="250">
        <f t="shared" si="28"/>
        <v>-1.5186028853454436E-3</v>
      </c>
      <c r="O189" s="253">
        <v>44109</v>
      </c>
      <c r="P189" s="136">
        <v>33.01</v>
      </c>
      <c r="Q189" s="250">
        <f t="shared" si="29"/>
        <v>3.6485253876556989E-3</v>
      </c>
      <c r="R189" s="251"/>
      <c r="S189" s="253">
        <v>44109</v>
      </c>
      <c r="T189" s="136">
        <v>47.92</v>
      </c>
      <c r="U189" s="250">
        <f t="shared" si="30"/>
        <v>1.4394580863674955E-2</v>
      </c>
      <c r="V189" s="251"/>
      <c r="W189" s="253">
        <v>44109</v>
      </c>
      <c r="X189" s="136">
        <v>64.069999999999993</v>
      </c>
      <c r="Y189" s="250">
        <f t="shared" si="31"/>
        <v>6.1243718592964846E-3</v>
      </c>
      <c r="Z189" s="251"/>
      <c r="AA189" s="253">
        <v>44109</v>
      </c>
      <c r="AB189" s="136">
        <v>29.2</v>
      </c>
      <c r="AC189" s="250">
        <f t="shared" si="32"/>
        <v>-1.2178619756427533E-2</v>
      </c>
      <c r="AD189" s="251"/>
      <c r="AE189" s="253">
        <v>44109</v>
      </c>
      <c r="AF189" s="136">
        <v>49.96</v>
      </c>
      <c r="AG189" s="250">
        <f t="shared" si="33"/>
        <v>-1.8467583497053019E-2</v>
      </c>
      <c r="AH189" s="251"/>
      <c r="AI189" s="253">
        <v>44109</v>
      </c>
      <c r="AJ189" s="136">
        <v>130.38</v>
      </c>
      <c r="AK189" s="250">
        <f t="shared" si="34"/>
        <v>-2.1097680006006425E-2</v>
      </c>
      <c r="AL189" s="251"/>
      <c r="AM189" s="253">
        <v>44109</v>
      </c>
      <c r="AN189" s="136">
        <v>53.53</v>
      </c>
      <c r="AO189" s="250">
        <f t="shared" si="35"/>
        <v>4.4284042138119428E-2</v>
      </c>
      <c r="AP189" s="251"/>
      <c r="AQ189" s="253">
        <v>44109</v>
      </c>
      <c r="AR189" s="136">
        <v>158.49</v>
      </c>
      <c r="AS189" s="250">
        <f t="shared" si="36"/>
        <v>-4.558593279537515E-2</v>
      </c>
      <c r="AT189" s="251"/>
      <c r="AU189" s="253">
        <v>44109</v>
      </c>
      <c r="AV189" s="136">
        <v>62.49</v>
      </c>
      <c r="AW189" s="250">
        <f t="shared" si="37"/>
        <v>4.5682730923694903E-2</v>
      </c>
      <c r="AX189" s="251"/>
      <c r="AY189" s="253">
        <v>44109</v>
      </c>
      <c r="AZ189" s="252">
        <v>2863.7</v>
      </c>
      <c r="BA189" s="250">
        <f t="shared" si="38"/>
        <v>-2.2561266980681394E-2</v>
      </c>
    </row>
    <row r="190" spans="3:53" ht="14.25" customHeight="1" x14ac:dyDescent="0.35">
      <c r="C190" s="253">
        <v>43895</v>
      </c>
      <c r="D190" s="249">
        <v>134.22999999999999</v>
      </c>
      <c r="E190" s="250">
        <f t="shared" si="26"/>
        <v>3.1427693253419431E-2</v>
      </c>
      <c r="G190" s="253">
        <v>43895</v>
      </c>
      <c r="H190" s="136">
        <v>46.11</v>
      </c>
      <c r="I190" s="250">
        <f t="shared" si="27"/>
        <v>1.1184210526315796E-2</v>
      </c>
      <c r="K190" s="253">
        <v>43895</v>
      </c>
      <c r="L190" s="136">
        <v>26.34</v>
      </c>
      <c r="M190" s="250">
        <f t="shared" si="28"/>
        <v>1.6988416988417132E-2</v>
      </c>
      <c r="O190" s="253">
        <v>43895</v>
      </c>
      <c r="P190" s="136">
        <v>32.89</v>
      </c>
      <c r="Q190" s="250">
        <f t="shared" si="29"/>
        <v>0.10517473118279574</v>
      </c>
      <c r="R190" s="251"/>
      <c r="S190" s="253">
        <v>43895</v>
      </c>
      <c r="T190" s="136">
        <v>47.24</v>
      </c>
      <c r="U190" s="250">
        <f t="shared" si="30"/>
        <v>1.3733905579399242E-2</v>
      </c>
      <c r="V190" s="251"/>
      <c r="W190" s="253">
        <v>43895</v>
      </c>
      <c r="X190" s="136">
        <v>63.68</v>
      </c>
      <c r="Y190" s="250">
        <f t="shared" si="31"/>
        <v>-1.8193031144002503E-2</v>
      </c>
      <c r="Z190" s="251"/>
      <c r="AA190" s="253">
        <v>43895</v>
      </c>
      <c r="AB190" s="136">
        <v>29.56</v>
      </c>
      <c r="AC190" s="250">
        <f t="shared" si="32"/>
        <v>6.1266167460858334E-3</v>
      </c>
      <c r="AD190" s="251"/>
      <c r="AE190" s="253">
        <v>43895</v>
      </c>
      <c r="AF190" s="136">
        <v>50.9</v>
      </c>
      <c r="AG190" s="250">
        <f t="shared" si="33"/>
        <v>3.9447731755424265E-3</v>
      </c>
      <c r="AH190" s="251"/>
      <c r="AI190" s="253">
        <v>43895</v>
      </c>
      <c r="AJ190" s="136">
        <v>133.19</v>
      </c>
      <c r="AK190" s="250">
        <f t="shared" si="34"/>
        <v>4.9041798702278427E-3</v>
      </c>
      <c r="AL190" s="251"/>
      <c r="AM190" s="253">
        <v>43895</v>
      </c>
      <c r="AN190" s="136">
        <v>51.26</v>
      </c>
      <c r="AO190" s="250">
        <f t="shared" si="35"/>
        <v>1.6861733782979504E-2</v>
      </c>
      <c r="AP190" s="251"/>
      <c r="AQ190" s="253">
        <v>43895</v>
      </c>
      <c r="AR190" s="136">
        <v>166.06</v>
      </c>
      <c r="AS190" s="250">
        <f t="shared" si="36"/>
        <v>2.7789812465185415E-2</v>
      </c>
      <c r="AT190" s="251"/>
      <c r="AU190" s="253">
        <v>43895</v>
      </c>
      <c r="AV190" s="136">
        <v>59.76</v>
      </c>
      <c r="AW190" s="250">
        <f t="shared" si="37"/>
        <v>3.0211480362538623E-3</v>
      </c>
      <c r="AX190" s="251"/>
      <c r="AY190" s="253">
        <v>43895</v>
      </c>
      <c r="AZ190" s="252">
        <v>2929.8</v>
      </c>
      <c r="BA190" s="250">
        <f t="shared" si="38"/>
        <v>3.5005352014159108E-2</v>
      </c>
    </row>
    <row r="191" spans="3:53" ht="14.25" customHeight="1" x14ac:dyDescent="0.35">
      <c r="C191" s="248" t="s">
        <v>417</v>
      </c>
      <c r="D191" s="249">
        <v>130.13999999999999</v>
      </c>
      <c r="E191" s="250">
        <f t="shared" si="26"/>
        <v>-3.1408157189639963E-2</v>
      </c>
      <c r="G191" s="248" t="s">
        <v>417</v>
      </c>
      <c r="H191" s="136">
        <v>45.6</v>
      </c>
      <c r="I191" s="250">
        <f t="shared" si="27"/>
        <v>3.7420206911733533E-3</v>
      </c>
      <c r="K191" s="248" t="s">
        <v>417</v>
      </c>
      <c r="L191" s="136">
        <v>25.9</v>
      </c>
      <c r="M191" s="250">
        <f t="shared" si="28"/>
        <v>-1.4834537847090212E-2</v>
      </c>
      <c r="O191" s="248" t="s">
        <v>417</v>
      </c>
      <c r="P191" s="136">
        <v>29.76</v>
      </c>
      <c r="Q191" s="250">
        <f t="shared" si="29"/>
        <v>-4.6822742474915691E-3</v>
      </c>
      <c r="R191" s="251"/>
      <c r="S191" s="248" t="s">
        <v>417</v>
      </c>
      <c r="T191" s="136">
        <v>46.6</v>
      </c>
      <c r="U191" s="250">
        <f t="shared" si="30"/>
        <v>-2.1454623471350853E-4</v>
      </c>
      <c r="V191" s="251"/>
      <c r="W191" s="248" t="s">
        <v>417</v>
      </c>
      <c r="X191" s="136">
        <v>64.86</v>
      </c>
      <c r="Y191" s="250">
        <f t="shared" si="31"/>
        <v>1.1856474258970406E-2</v>
      </c>
      <c r="Z191" s="251"/>
      <c r="AA191" s="248" t="s">
        <v>417</v>
      </c>
      <c r="AB191" s="136">
        <v>29.38</v>
      </c>
      <c r="AC191" s="250">
        <f t="shared" si="32"/>
        <v>5.1317139924733635E-3</v>
      </c>
      <c r="AD191" s="251"/>
      <c r="AE191" s="248" t="s">
        <v>417</v>
      </c>
      <c r="AF191" s="136">
        <v>50.7</v>
      </c>
      <c r="AG191" s="250">
        <f t="shared" si="33"/>
        <v>-1.3810542695973371E-2</v>
      </c>
      <c r="AH191" s="251"/>
      <c r="AI191" s="248" t="s">
        <v>417</v>
      </c>
      <c r="AJ191" s="136">
        <v>132.54</v>
      </c>
      <c r="AK191" s="250">
        <f t="shared" si="34"/>
        <v>-2.3574480624723892E-2</v>
      </c>
      <c r="AL191" s="251"/>
      <c r="AM191" s="248" t="s">
        <v>417</v>
      </c>
      <c r="AN191" s="136">
        <v>50.41</v>
      </c>
      <c r="AO191" s="250">
        <f t="shared" si="35"/>
        <v>-6.6995073891625845E-3</v>
      </c>
      <c r="AP191" s="251"/>
      <c r="AQ191" s="248" t="s">
        <v>417</v>
      </c>
      <c r="AR191" s="136">
        <v>161.57</v>
      </c>
      <c r="AS191" s="250">
        <f t="shared" si="36"/>
        <v>1.725114902726177E-2</v>
      </c>
      <c r="AT191" s="251"/>
      <c r="AU191" s="248" t="s">
        <v>417</v>
      </c>
      <c r="AV191" s="136">
        <v>59.58</v>
      </c>
      <c r="AW191" s="250">
        <f t="shared" si="37"/>
        <v>-1.4880952380952328E-2</v>
      </c>
      <c r="AX191" s="251"/>
      <c r="AY191" s="248" t="s">
        <v>417</v>
      </c>
      <c r="AZ191" s="252">
        <v>2830.71</v>
      </c>
      <c r="BA191" s="250">
        <f t="shared" si="38"/>
        <v>-2.1256794771462584E-3</v>
      </c>
    </row>
    <row r="192" spans="3:53" ht="14.25" customHeight="1" x14ac:dyDescent="0.35">
      <c r="C192" s="248" t="s">
        <v>418</v>
      </c>
      <c r="D192" s="249">
        <v>134.36000000000001</v>
      </c>
      <c r="E192" s="250">
        <f t="shared" si="26"/>
        <v>-2.319156670301703E-2</v>
      </c>
      <c r="G192" s="248" t="s">
        <v>418</v>
      </c>
      <c r="H192" s="136">
        <v>45.43</v>
      </c>
      <c r="I192" s="250">
        <f t="shared" si="27"/>
        <v>-5.4723262588431187E-2</v>
      </c>
      <c r="K192" s="248" t="s">
        <v>418</v>
      </c>
      <c r="L192" s="136">
        <v>26.29</v>
      </c>
      <c r="M192" s="250">
        <f t="shared" si="28"/>
        <v>5.3537284894837889E-3</v>
      </c>
      <c r="O192" s="248" t="s">
        <v>418</v>
      </c>
      <c r="P192" s="136">
        <v>29.9</v>
      </c>
      <c r="Q192" s="250">
        <f t="shared" si="29"/>
        <v>-3.8275972981666184E-2</v>
      </c>
      <c r="R192" s="251"/>
      <c r="S192" s="248" t="s">
        <v>418</v>
      </c>
      <c r="T192" s="136">
        <v>46.61</v>
      </c>
      <c r="U192" s="250">
        <f t="shared" si="30"/>
        <v>-7.7212433181548135E-2</v>
      </c>
      <c r="V192" s="251"/>
      <c r="W192" s="248" t="s">
        <v>418</v>
      </c>
      <c r="X192" s="136">
        <v>64.099999999999994</v>
      </c>
      <c r="Y192" s="250">
        <f t="shared" si="31"/>
        <v>-1.4149492463857327E-2</v>
      </c>
      <c r="Z192" s="251"/>
      <c r="AA192" s="248" t="s">
        <v>418</v>
      </c>
      <c r="AB192" s="136">
        <v>29.23</v>
      </c>
      <c r="AC192" s="250">
        <f t="shared" si="32"/>
        <v>-3.4094783498124226E-3</v>
      </c>
      <c r="AD192" s="251"/>
      <c r="AE192" s="248" t="s">
        <v>418</v>
      </c>
      <c r="AF192" s="136">
        <v>51.41</v>
      </c>
      <c r="AG192" s="250">
        <f t="shared" si="33"/>
        <v>-3.8706058339566196E-2</v>
      </c>
      <c r="AH192" s="251"/>
      <c r="AI192" s="248" t="s">
        <v>418</v>
      </c>
      <c r="AJ192" s="136">
        <v>135.74</v>
      </c>
      <c r="AK192" s="250">
        <f t="shared" si="34"/>
        <v>-7.3194046155947046E-2</v>
      </c>
      <c r="AL192" s="251"/>
      <c r="AM192" s="248" t="s">
        <v>418</v>
      </c>
      <c r="AN192" s="136">
        <v>50.75</v>
      </c>
      <c r="AO192" s="250">
        <f t="shared" si="35"/>
        <v>8.1446166070717751E-3</v>
      </c>
      <c r="AP192" s="251"/>
      <c r="AQ192" s="248" t="s">
        <v>418</v>
      </c>
      <c r="AR192" s="136">
        <v>158.83000000000001</v>
      </c>
      <c r="AS192" s="250">
        <f t="shared" si="36"/>
        <v>-2.378610940381054E-2</v>
      </c>
      <c r="AT192" s="251"/>
      <c r="AU192" s="248" t="s">
        <v>418</v>
      </c>
      <c r="AV192" s="136">
        <v>60.48</v>
      </c>
      <c r="AW192" s="250">
        <f t="shared" si="37"/>
        <v>-3.1316960606561084E-3</v>
      </c>
      <c r="AX192" s="251"/>
      <c r="AY192" s="248" t="s">
        <v>418</v>
      </c>
      <c r="AZ192" s="252">
        <v>2836.74</v>
      </c>
      <c r="BA192" s="250">
        <f t="shared" si="38"/>
        <v>-1.3156796170544438E-2</v>
      </c>
    </row>
    <row r="193" spans="3:53" ht="14.25" customHeight="1" x14ac:dyDescent="0.35">
      <c r="C193" s="253">
        <v>44169</v>
      </c>
      <c r="D193" s="249">
        <v>137.55000000000001</v>
      </c>
      <c r="E193" s="250">
        <f t="shared" si="26"/>
        <v>2.9334730225248906E-2</v>
      </c>
      <c r="G193" s="253">
        <v>44169</v>
      </c>
      <c r="H193" s="136">
        <v>48.06</v>
      </c>
      <c r="I193" s="250">
        <f t="shared" si="27"/>
        <v>-1.9183673469387763E-2</v>
      </c>
      <c r="K193" s="253">
        <v>44169</v>
      </c>
      <c r="L193" s="136">
        <v>26.15</v>
      </c>
      <c r="M193" s="250">
        <f t="shared" si="28"/>
        <v>-2.6433358153387987E-2</v>
      </c>
      <c r="O193" s="253">
        <v>44169</v>
      </c>
      <c r="P193" s="136">
        <v>31.09</v>
      </c>
      <c r="Q193" s="250">
        <f t="shared" si="29"/>
        <v>2.776859504132223E-2</v>
      </c>
      <c r="R193" s="251"/>
      <c r="S193" s="253">
        <v>44169</v>
      </c>
      <c r="T193" s="136">
        <v>50.51</v>
      </c>
      <c r="U193" s="250">
        <f t="shared" si="30"/>
        <v>6.2473706352545122E-2</v>
      </c>
      <c r="V193" s="251"/>
      <c r="W193" s="253">
        <v>44169</v>
      </c>
      <c r="X193" s="136">
        <v>65.02</v>
      </c>
      <c r="Y193" s="250">
        <f t="shared" si="31"/>
        <v>3.6340452661778766E-2</v>
      </c>
      <c r="Z193" s="251"/>
      <c r="AA193" s="253">
        <v>44169</v>
      </c>
      <c r="AB193" s="136">
        <v>29.33</v>
      </c>
      <c r="AC193" s="250">
        <f t="shared" si="32"/>
        <v>4.3400924937744501E-2</v>
      </c>
      <c r="AD193" s="251"/>
      <c r="AE193" s="253">
        <v>44169</v>
      </c>
      <c r="AF193" s="136">
        <v>53.48</v>
      </c>
      <c r="AG193" s="250">
        <f t="shared" si="33"/>
        <v>2.1780664883454204E-2</v>
      </c>
      <c r="AH193" s="251"/>
      <c r="AI193" s="253">
        <v>44169</v>
      </c>
      <c r="AJ193" s="136">
        <v>146.46</v>
      </c>
      <c r="AK193" s="250">
        <f t="shared" si="34"/>
        <v>1.7719407963310507E-2</v>
      </c>
      <c r="AL193" s="251"/>
      <c r="AM193" s="253">
        <v>44169</v>
      </c>
      <c r="AN193" s="136">
        <v>50.34</v>
      </c>
      <c r="AO193" s="250">
        <f t="shared" si="35"/>
        <v>5.4240837696335253E-2</v>
      </c>
      <c r="AP193" s="251"/>
      <c r="AQ193" s="253">
        <v>44169</v>
      </c>
      <c r="AR193" s="136">
        <v>162.69999999999999</v>
      </c>
      <c r="AS193" s="250">
        <f t="shared" si="36"/>
        <v>-2.129451395572679E-2</v>
      </c>
      <c r="AT193" s="251"/>
      <c r="AU193" s="253">
        <v>44169</v>
      </c>
      <c r="AV193" s="136">
        <v>60.67</v>
      </c>
      <c r="AW193" s="250">
        <f t="shared" si="37"/>
        <v>5.6968641114982566E-2</v>
      </c>
      <c r="AX193" s="251"/>
      <c r="AY193" s="253">
        <v>44169</v>
      </c>
      <c r="AZ193" s="252">
        <v>2874.56</v>
      </c>
      <c r="BA193" s="250">
        <f t="shared" si="38"/>
        <v>3.0374719515954274E-2</v>
      </c>
    </row>
    <row r="194" spans="3:53" ht="14.25" customHeight="1" x14ac:dyDescent="0.35">
      <c r="C194" s="253">
        <v>43955</v>
      </c>
      <c r="D194" s="249">
        <v>133.63</v>
      </c>
      <c r="E194" s="250">
        <f t="shared" si="26"/>
        <v>7.2557990207881895E-2</v>
      </c>
      <c r="G194" s="253">
        <v>43955</v>
      </c>
      <c r="H194" s="136">
        <v>49</v>
      </c>
      <c r="I194" s="250">
        <f t="shared" si="27"/>
        <v>0.11795573807894133</v>
      </c>
      <c r="K194" s="253">
        <v>43955</v>
      </c>
      <c r="L194" s="136">
        <v>26.86</v>
      </c>
      <c r="M194" s="250">
        <f t="shared" si="28"/>
        <v>0.12857142857142856</v>
      </c>
      <c r="O194" s="253">
        <v>43955</v>
      </c>
      <c r="P194" s="136">
        <v>30.25</v>
      </c>
      <c r="Q194" s="250">
        <f t="shared" si="29"/>
        <v>0.11582441903356688</v>
      </c>
      <c r="R194" s="251"/>
      <c r="S194" s="253">
        <v>43955</v>
      </c>
      <c r="T194" s="136">
        <v>47.54</v>
      </c>
      <c r="U194" s="250">
        <f t="shared" si="30"/>
        <v>-1.7362546506821119E-2</v>
      </c>
      <c r="V194" s="251"/>
      <c r="W194" s="253">
        <v>43955</v>
      </c>
      <c r="X194" s="136">
        <v>62.74</v>
      </c>
      <c r="Y194" s="250">
        <f t="shared" si="31"/>
        <v>-1.3211701793016561E-2</v>
      </c>
      <c r="Z194" s="251"/>
      <c r="AA194" s="253">
        <v>43955</v>
      </c>
      <c r="AB194" s="136">
        <v>28.11</v>
      </c>
      <c r="AC194" s="250">
        <f t="shared" si="32"/>
        <v>0.11018957345971558</v>
      </c>
      <c r="AD194" s="251"/>
      <c r="AE194" s="253">
        <v>43955</v>
      </c>
      <c r="AF194" s="136">
        <v>52.34</v>
      </c>
      <c r="AG194" s="250">
        <f t="shared" si="33"/>
        <v>3.0517818468202451E-2</v>
      </c>
      <c r="AH194" s="251"/>
      <c r="AI194" s="253">
        <v>43955</v>
      </c>
      <c r="AJ194" s="136">
        <v>143.91</v>
      </c>
      <c r="AK194" s="250">
        <f t="shared" si="34"/>
        <v>2.9620090148100298E-2</v>
      </c>
      <c r="AL194" s="251"/>
      <c r="AM194" s="253">
        <v>43955</v>
      </c>
      <c r="AN194" s="136">
        <v>47.75</v>
      </c>
      <c r="AO194" s="250">
        <f t="shared" si="35"/>
        <v>-3.5937815465374556E-2</v>
      </c>
      <c r="AP194" s="251"/>
      <c r="AQ194" s="253">
        <v>43955</v>
      </c>
      <c r="AR194" s="136">
        <v>166.24</v>
      </c>
      <c r="AS194" s="250">
        <f t="shared" si="36"/>
        <v>0.25777407883786041</v>
      </c>
      <c r="AT194" s="251"/>
      <c r="AU194" s="253">
        <v>43955</v>
      </c>
      <c r="AV194" s="136">
        <v>57.4</v>
      </c>
      <c r="AW194" s="250">
        <f t="shared" si="37"/>
        <v>1.2167166284605901E-2</v>
      </c>
      <c r="AX194" s="251"/>
      <c r="AY194" s="253">
        <v>43955</v>
      </c>
      <c r="AZ194" s="252">
        <v>2789.82</v>
      </c>
      <c r="BA194" s="250">
        <f t="shared" si="38"/>
        <v>0.12101741908263519</v>
      </c>
    </row>
    <row r="195" spans="3:53" ht="14.25" customHeight="1" x14ac:dyDescent="0.35">
      <c r="C195" s="248" t="s">
        <v>419</v>
      </c>
      <c r="D195" s="249">
        <v>124.59</v>
      </c>
      <c r="E195" s="250">
        <f t="shared" si="26"/>
        <v>3.4285239913664389E-2</v>
      </c>
      <c r="G195" s="248" t="s">
        <v>419</v>
      </c>
      <c r="H195" s="136">
        <v>43.83</v>
      </c>
      <c r="I195" s="250">
        <f t="shared" si="27"/>
        <v>2.3826208829712536E-2</v>
      </c>
      <c r="K195" s="248" t="s">
        <v>419</v>
      </c>
      <c r="L195" s="136">
        <v>23.8</v>
      </c>
      <c r="M195" s="250">
        <f t="shared" si="28"/>
        <v>-2.3789991796554499E-2</v>
      </c>
      <c r="O195" s="248" t="s">
        <v>419</v>
      </c>
      <c r="P195" s="136">
        <v>27.11</v>
      </c>
      <c r="Q195" s="250">
        <f t="shared" si="29"/>
        <v>-3.8652482269503574E-2</v>
      </c>
      <c r="R195" s="251"/>
      <c r="S195" s="248" t="s">
        <v>419</v>
      </c>
      <c r="T195" s="136">
        <v>48.38</v>
      </c>
      <c r="U195" s="250">
        <f t="shared" si="30"/>
        <v>7.6067615658363064E-2</v>
      </c>
      <c r="V195" s="251"/>
      <c r="W195" s="248" t="s">
        <v>419</v>
      </c>
      <c r="X195" s="136">
        <v>63.58</v>
      </c>
      <c r="Y195" s="250">
        <f t="shared" si="31"/>
        <v>6.9110475870186594E-2</v>
      </c>
      <c r="Z195" s="251"/>
      <c r="AA195" s="248" t="s">
        <v>419</v>
      </c>
      <c r="AB195" s="136">
        <v>25.32</v>
      </c>
      <c r="AC195" s="250">
        <f t="shared" si="32"/>
        <v>4.4554455445544594E-2</v>
      </c>
      <c r="AD195" s="251"/>
      <c r="AE195" s="248" t="s">
        <v>419</v>
      </c>
      <c r="AF195" s="136">
        <v>50.79</v>
      </c>
      <c r="AG195" s="250">
        <f t="shared" si="33"/>
        <v>6.055543954896625E-2</v>
      </c>
      <c r="AH195" s="251"/>
      <c r="AI195" s="248" t="s">
        <v>419</v>
      </c>
      <c r="AJ195" s="136">
        <v>139.77000000000001</v>
      </c>
      <c r="AK195" s="250">
        <f t="shared" si="34"/>
        <v>6.8251299296851142E-2</v>
      </c>
      <c r="AL195" s="251"/>
      <c r="AM195" s="248" t="s">
        <v>419</v>
      </c>
      <c r="AN195" s="136">
        <v>49.53</v>
      </c>
      <c r="AO195" s="250">
        <f t="shared" si="35"/>
        <v>0.12084181941615757</v>
      </c>
      <c r="AP195" s="251"/>
      <c r="AQ195" s="248" t="s">
        <v>419</v>
      </c>
      <c r="AR195" s="136">
        <v>132.16999999999999</v>
      </c>
      <c r="AS195" s="250">
        <f t="shared" si="36"/>
        <v>-8.7727774710104955E-2</v>
      </c>
      <c r="AT195" s="251"/>
      <c r="AU195" s="248" t="s">
        <v>419</v>
      </c>
      <c r="AV195" s="136">
        <v>56.71</v>
      </c>
      <c r="AW195" s="250">
        <f t="shared" si="37"/>
        <v>9.436510999614045E-2</v>
      </c>
      <c r="AX195" s="251"/>
      <c r="AY195" s="248" t="s">
        <v>419</v>
      </c>
      <c r="AZ195" s="252">
        <v>2488.65</v>
      </c>
      <c r="BA195" s="250">
        <f t="shared" si="38"/>
        <v>-2.0783247490625434E-2</v>
      </c>
    </row>
    <row r="196" spans="3:53" ht="14.25" customHeight="1" x14ac:dyDescent="0.35">
      <c r="C196" s="248" t="s">
        <v>420</v>
      </c>
      <c r="D196" s="249">
        <v>120.46</v>
      </c>
      <c r="E196" s="250">
        <f t="shared" si="26"/>
        <v>0.15904936014625215</v>
      </c>
      <c r="G196" s="248" t="s">
        <v>420</v>
      </c>
      <c r="H196" s="136">
        <v>42.81</v>
      </c>
      <c r="I196" s="250">
        <f t="shared" si="27"/>
        <v>0.11775456919060057</v>
      </c>
      <c r="K196" s="248" t="s">
        <v>420</v>
      </c>
      <c r="L196" s="136">
        <v>24.38</v>
      </c>
      <c r="M196" s="250">
        <f t="shared" si="28"/>
        <v>3.6124096897577562E-2</v>
      </c>
      <c r="O196" s="248" t="s">
        <v>420</v>
      </c>
      <c r="P196" s="136">
        <v>28.2</v>
      </c>
      <c r="Q196" s="250">
        <f t="shared" si="29"/>
        <v>8.2533589251439388E-2</v>
      </c>
      <c r="R196" s="251"/>
      <c r="S196" s="248" t="s">
        <v>420</v>
      </c>
      <c r="T196" s="136">
        <v>44.96</v>
      </c>
      <c r="U196" s="250">
        <f t="shared" si="30"/>
        <v>-3.5460992907800915E-3</v>
      </c>
      <c r="V196" s="251"/>
      <c r="W196" s="248" t="s">
        <v>420</v>
      </c>
      <c r="X196" s="136">
        <v>59.47</v>
      </c>
      <c r="Y196" s="250">
        <f t="shared" si="31"/>
        <v>6.5579645224870031E-2</v>
      </c>
      <c r="Z196" s="251"/>
      <c r="AA196" s="248" t="s">
        <v>420</v>
      </c>
      <c r="AB196" s="136">
        <v>24.24</v>
      </c>
      <c r="AC196" s="250">
        <f t="shared" si="32"/>
        <v>8.797127468581678E-2</v>
      </c>
      <c r="AD196" s="251"/>
      <c r="AE196" s="248" t="s">
        <v>420</v>
      </c>
      <c r="AF196" s="136">
        <v>47.89</v>
      </c>
      <c r="AG196" s="250">
        <f t="shared" si="33"/>
        <v>0.10549399815327787</v>
      </c>
      <c r="AH196" s="251"/>
      <c r="AI196" s="248" t="s">
        <v>420</v>
      </c>
      <c r="AJ196" s="136">
        <v>130.84</v>
      </c>
      <c r="AK196" s="250">
        <f t="shared" si="34"/>
        <v>0.11135649367196132</v>
      </c>
      <c r="AL196" s="251"/>
      <c r="AM196" s="248" t="s">
        <v>420</v>
      </c>
      <c r="AN196" s="136">
        <v>44.19</v>
      </c>
      <c r="AO196" s="250">
        <f t="shared" si="35"/>
        <v>-2.4503311258278093E-2</v>
      </c>
      <c r="AP196" s="251"/>
      <c r="AQ196" s="248" t="s">
        <v>420</v>
      </c>
      <c r="AR196" s="136">
        <v>144.88</v>
      </c>
      <c r="AS196" s="250">
        <f t="shared" si="36"/>
        <v>0.21035923141186297</v>
      </c>
      <c r="AT196" s="251"/>
      <c r="AU196" s="248" t="s">
        <v>420</v>
      </c>
      <c r="AV196" s="136">
        <v>51.82</v>
      </c>
      <c r="AW196" s="250">
        <f t="shared" si="37"/>
        <v>-2.9042533258384795E-2</v>
      </c>
      <c r="AX196" s="251"/>
      <c r="AY196" s="248" t="s">
        <v>420</v>
      </c>
      <c r="AZ196" s="252">
        <v>2541.4699999999998</v>
      </c>
      <c r="BA196" s="250">
        <f t="shared" si="38"/>
        <v>0.10262829078666491</v>
      </c>
    </row>
    <row r="197" spans="3:53" ht="14.25" customHeight="1" x14ac:dyDescent="0.35">
      <c r="C197" s="248" t="s">
        <v>421</v>
      </c>
      <c r="D197" s="249">
        <v>103.93</v>
      </c>
      <c r="E197" s="250">
        <f t="shared" si="26"/>
        <v>-0.184542958022754</v>
      </c>
      <c r="G197" s="248" t="s">
        <v>421</v>
      </c>
      <c r="H197" s="136">
        <v>38.299999999999997</v>
      </c>
      <c r="I197" s="250">
        <f t="shared" si="27"/>
        <v>-0.20982050753043124</v>
      </c>
      <c r="K197" s="248" t="s">
        <v>421</v>
      </c>
      <c r="L197" s="136">
        <v>23.53</v>
      </c>
      <c r="M197" s="250">
        <f t="shared" si="28"/>
        <v>2.5564550489989291E-3</v>
      </c>
      <c r="O197" s="248" t="s">
        <v>421</v>
      </c>
      <c r="P197" s="136">
        <v>26.05</v>
      </c>
      <c r="Q197" s="250">
        <f t="shared" si="29"/>
        <v>-0.16506410256410253</v>
      </c>
      <c r="R197" s="251"/>
      <c r="S197" s="248" t="s">
        <v>421</v>
      </c>
      <c r="T197" s="136">
        <v>45.12</v>
      </c>
      <c r="U197" s="250">
        <f t="shared" si="30"/>
        <v>6.4150943396226401E-2</v>
      </c>
      <c r="V197" s="251"/>
      <c r="W197" s="248" t="s">
        <v>421</v>
      </c>
      <c r="X197" s="136">
        <v>55.81</v>
      </c>
      <c r="Y197" s="250">
        <f t="shared" si="31"/>
        <v>-0.12331134150172784</v>
      </c>
      <c r="Z197" s="251"/>
      <c r="AA197" s="248" t="s">
        <v>421</v>
      </c>
      <c r="AB197" s="136">
        <v>22.28</v>
      </c>
      <c r="AC197" s="250">
        <f t="shared" si="32"/>
        <v>-7.0504797663746288E-2</v>
      </c>
      <c r="AD197" s="251"/>
      <c r="AE197" s="248" t="s">
        <v>421</v>
      </c>
      <c r="AF197" s="136">
        <v>43.32</v>
      </c>
      <c r="AG197" s="250">
        <f t="shared" si="33"/>
        <v>-0.14925373134328357</v>
      </c>
      <c r="AH197" s="251"/>
      <c r="AI197" s="248" t="s">
        <v>421</v>
      </c>
      <c r="AJ197" s="136">
        <v>117.73</v>
      </c>
      <c r="AK197" s="250">
        <f t="shared" si="34"/>
        <v>-0.1581092677345538</v>
      </c>
      <c r="AL197" s="251"/>
      <c r="AM197" s="248" t="s">
        <v>421</v>
      </c>
      <c r="AN197" s="136">
        <v>45.3</v>
      </c>
      <c r="AO197" s="250">
        <f t="shared" si="35"/>
        <v>-8.076298701298712E-2</v>
      </c>
      <c r="AP197" s="251"/>
      <c r="AQ197" s="248" t="s">
        <v>421</v>
      </c>
      <c r="AR197" s="136">
        <v>119.7</v>
      </c>
      <c r="AS197" s="250">
        <f t="shared" si="36"/>
        <v>-9.9864641299443391E-2</v>
      </c>
      <c r="AT197" s="251"/>
      <c r="AU197" s="248" t="s">
        <v>421</v>
      </c>
      <c r="AV197" s="136">
        <v>53.37</v>
      </c>
      <c r="AW197" s="250">
        <f t="shared" si="37"/>
        <v>-2.0568436798803491E-3</v>
      </c>
      <c r="AX197" s="251"/>
      <c r="AY197" s="248" t="s">
        <v>421</v>
      </c>
      <c r="AZ197" s="252">
        <v>2304.92</v>
      </c>
      <c r="BA197" s="250">
        <f t="shared" si="38"/>
        <v>-0.14979601773502216</v>
      </c>
    </row>
    <row r="198" spans="3:53" ht="14.25" customHeight="1" x14ac:dyDescent="0.35">
      <c r="C198" s="253">
        <v>44046</v>
      </c>
      <c r="D198" s="249">
        <v>127.45</v>
      </c>
      <c r="E198" s="250">
        <f t="shared" si="26"/>
        <v>-7.1470202535334315E-2</v>
      </c>
      <c r="G198" s="253">
        <v>44046</v>
      </c>
      <c r="H198" s="136">
        <v>48.47</v>
      </c>
      <c r="I198" s="250">
        <f t="shared" si="27"/>
        <v>-0.12287368802026777</v>
      </c>
      <c r="K198" s="253">
        <v>44046</v>
      </c>
      <c r="L198" s="136">
        <v>23.47</v>
      </c>
      <c r="M198" s="250">
        <f t="shared" si="28"/>
        <v>-0.11866316184754033</v>
      </c>
      <c r="O198" s="253">
        <v>44046</v>
      </c>
      <c r="P198" s="136">
        <v>31.2</v>
      </c>
      <c r="Q198" s="250">
        <f t="shared" si="29"/>
        <v>-5.7116953762466172E-2</v>
      </c>
      <c r="R198" s="251"/>
      <c r="S198" s="253">
        <v>44046</v>
      </c>
      <c r="T198" s="136">
        <v>42.4</v>
      </c>
      <c r="U198" s="250">
        <f t="shared" si="30"/>
        <v>-3.526734926052344E-2</v>
      </c>
      <c r="V198" s="251"/>
      <c r="W198" s="253">
        <v>44046</v>
      </c>
      <c r="X198" s="136">
        <v>63.66</v>
      </c>
      <c r="Y198" s="250">
        <f t="shared" si="31"/>
        <v>7.4378857414147959E-3</v>
      </c>
      <c r="Z198" s="251"/>
      <c r="AA198" s="253">
        <v>44046</v>
      </c>
      <c r="AB198" s="136">
        <v>23.97</v>
      </c>
      <c r="AC198" s="250">
        <f t="shared" si="32"/>
        <v>-7.9139454475605109E-2</v>
      </c>
      <c r="AD198" s="251"/>
      <c r="AE198" s="253">
        <v>44046</v>
      </c>
      <c r="AF198" s="136">
        <v>50.92</v>
      </c>
      <c r="AG198" s="250">
        <f t="shared" si="33"/>
        <v>-8.5159899389148364E-2</v>
      </c>
      <c r="AH198" s="251"/>
      <c r="AI198" s="253">
        <v>44046</v>
      </c>
      <c r="AJ198" s="136">
        <v>139.84</v>
      </c>
      <c r="AK198" s="250">
        <f t="shared" si="34"/>
        <v>-0.10525305521786421</v>
      </c>
      <c r="AL198" s="251"/>
      <c r="AM198" s="253">
        <v>44046</v>
      </c>
      <c r="AN198" s="136">
        <v>49.28</v>
      </c>
      <c r="AO198" s="250">
        <f t="shared" si="35"/>
        <v>-4.7913446676970617E-2</v>
      </c>
      <c r="AP198" s="251"/>
      <c r="AQ198" s="253">
        <v>44046</v>
      </c>
      <c r="AR198" s="136">
        <v>132.97999999999999</v>
      </c>
      <c r="AS198" s="250">
        <f t="shared" si="36"/>
        <v>-0.25738538001898703</v>
      </c>
      <c r="AT198" s="251"/>
      <c r="AU198" s="253">
        <v>44046</v>
      </c>
      <c r="AV198" s="136">
        <v>53.48</v>
      </c>
      <c r="AW198" s="250">
        <f t="shared" si="37"/>
        <v>-2.3553039985393598E-2</v>
      </c>
      <c r="AX198" s="251"/>
      <c r="AY198" s="253">
        <v>44046</v>
      </c>
      <c r="AZ198" s="252">
        <v>2711.02</v>
      </c>
      <c r="BA198" s="250">
        <f t="shared" si="38"/>
        <v>-8.7926469450303912E-2</v>
      </c>
    </row>
    <row r="199" spans="3:53" ht="14.25" customHeight="1" x14ac:dyDescent="0.35">
      <c r="C199" s="253">
        <v>43833</v>
      </c>
      <c r="D199" s="249">
        <v>137.26</v>
      </c>
      <c r="E199" s="250">
        <f t="shared" si="26"/>
        <v>3.9612209346360672E-2</v>
      </c>
      <c r="G199" s="253">
        <v>43833</v>
      </c>
      <c r="H199" s="136">
        <v>55.26</v>
      </c>
      <c r="I199" s="250">
        <f t="shared" si="27"/>
        <v>3.3090297251822776E-2</v>
      </c>
      <c r="K199" s="253">
        <v>43833</v>
      </c>
      <c r="L199" s="136">
        <v>26.63</v>
      </c>
      <c r="M199" s="250">
        <f t="shared" si="28"/>
        <v>-4.4835007173601116E-2</v>
      </c>
      <c r="O199" s="253">
        <v>43833</v>
      </c>
      <c r="P199" s="136">
        <v>33.090000000000003</v>
      </c>
      <c r="Q199" s="250">
        <f t="shared" si="29"/>
        <v>6.0576923076923306E-2</v>
      </c>
      <c r="R199" s="251"/>
      <c r="S199" s="253">
        <v>43833</v>
      </c>
      <c r="T199" s="136">
        <v>43.95</v>
      </c>
      <c r="U199" s="250">
        <f t="shared" si="30"/>
        <v>5.6490384615384581E-2</v>
      </c>
      <c r="V199" s="251"/>
      <c r="W199" s="253">
        <v>43833</v>
      </c>
      <c r="X199" s="136">
        <v>63.19</v>
      </c>
      <c r="Y199" s="250">
        <f t="shared" si="31"/>
        <v>4.4980982305275363E-2</v>
      </c>
      <c r="Z199" s="251"/>
      <c r="AA199" s="253">
        <v>43833</v>
      </c>
      <c r="AB199" s="136">
        <v>26.03</v>
      </c>
      <c r="AC199" s="250">
        <f t="shared" si="32"/>
        <v>5.08679854662899E-2</v>
      </c>
      <c r="AD199" s="251"/>
      <c r="AE199" s="253">
        <v>43833</v>
      </c>
      <c r="AF199" s="136">
        <v>55.66</v>
      </c>
      <c r="AG199" s="250">
        <f t="shared" si="33"/>
        <v>5.4166666666666696E-2</v>
      </c>
      <c r="AH199" s="251"/>
      <c r="AI199" s="253">
        <v>43833</v>
      </c>
      <c r="AJ199" s="136">
        <v>156.29</v>
      </c>
      <c r="AK199" s="250">
        <f t="shared" si="34"/>
        <v>8.5422598791582649E-2</v>
      </c>
      <c r="AL199" s="251"/>
      <c r="AM199" s="253">
        <v>43833</v>
      </c>
      <c r="AN199" s="136">
        <v>51.76</v>
      </c>
      <c r="AO199" s="250">
        <f t="shared" si="35"/>
        <v>0.14716312056737602</v>
      </c>
      <c r="AP199" s="251"/>
      <c r="AQ199" s="253">
        <v>43833</v>
      </c>
      <c r="AR199" s="136">
        <v>179.07</v>
      </c>
      <c r="AS199" s="250">
        <f t="shared" si="36"/>
        <v>3.8809606682909781E-2</v>
      </c>
      <c r="AT199" s="251"/>
      <c r="AU199" s="253">
        <v>43833</v>
      </c>
      <c r="AV199" s="136">
        <v>54.77</v>
      </c>
      <c r="AW199" s="250">
        <f t="shared" si="37"/>
        <v>0.1177551020408163</v>
      </c>
      <c r="AX199" s="251"/>
      <c r="AY199" s="253">
        <v>43833</v>
      </c>
      <c r="AZ199" s="252">
        <v>2972.37</v>
      </c>
      <c r="BA199" s="250">
        <f t="shared" si="38"/>
        <v>6.1437536811748128E-3</v>
      </c>
    </row>
    <row r="200" spans="3:53" ht="14.25" customHeight="1" x14ac:dyDescent="0.35">
      <c r="C200" s="248" t="s">
        <v>422</v>
      </c>
      <c r="D200" s="249">
        <v>132.03</v>
      </c>
      <c r="E200" s="250">
        <f t="shared" si="26"/>
        <v>-9.4754885155982183E-2</v>
      </c>
      <c r="G200" s="248" t="s">
        <v>422</v>
      </c>
      <c r="H200" s="136">
        <v>53.49</v>
      </c>
      <c r="I200" s="250">
        <f t="shared" si="27"/>
        <v>-0.11042740728421752</v>
      </c>
      <c r="K200" s="248" t="s">
        <v>422</v>
      </c>
      <c r="L200" s="136">
        <v>27.88</v>
      </c>
      <c r="M200" s="250">
        <f t="shared" si="28"/>
        <v>-5.4915254237288158E-2</v>
      </c>
      <c r="O200" s="248" t="s">
        <v>422</v>
      </c>
      <c r="P200" s="136">
        <v>31.2</v>
      </c>
      <c r="Q200" s="250">
        <f t="shared" si="29"/>
        <v>-0.10524806423860045</v>
      </c>
      <c r="R200" s="251"/>
      <c r="S200" s="248" t="s">
        <v>422</v>
      </c>
      <c r="T200" s="136">
        <v>41.6</v>
      </c>
      <c r="U200" s="250">
        <f t="shared" si="30"/>
        <v>-7.0806343533616256E-2</v>
      </c>
      <c r="V200" s="251"/>
      <c r="W200" s="248" t="s">
        <v>422</v>
      </c>
      <c r="X200" s="136">
        <v>60.47</v>
      </c>
      <c r="Y200" s="250">
        <f t="shared" si="31"/>
        <v>-7.7075702075702024E-2</v>
      </c>
      <c r="Z200" s="251"/>
      <c r="AA200" s="248" t="s">
        <v>422</v>
      </c>
      <c r="AB200" s="136">
        <v>24.77</v>
      </c>
      <c r="AC200" s="250">
        <f t="shared" si="32"/>
        <v>-9.1342626559061002E-2</v>
      </c>
      <c r="AD200" s="251"/>
      <c r="AE200" s="248" t="s">
        <v>422</v>
      </c>
      <c r="AF200" s="136">
        <v>52.8</v>
      </c>
      <c r="AG200" s="250">
        <f t="shared" si="33"/>
        <v>-0.10127659574468095</v>
      </c>
      <c r="AH200" s="251"/>
      <c r="AI200" s="248" t="s">
        <v>422</v>
      </c>
      <c r="AJ200" s="136">
        <v>143.99</v>
      </c>
      <c r="AK200" s="250">
        <f t="shared" si="34"/>
        <v>-0.10185878243512969</v>
      </c>
      <c r="AL200" s="251"/>
      <c r="AM200" s="248" t="s">
        <v>422</v>
      </c>
      <c r="AN200" s="136">
        <v>45.12</v>
      </c>
      <c r="AO200" s="250">
        <f t="shared" si="35"/>
        <v>-5.9216013344453811E-2</v>
      </c>
      <c r="AP200" s="251"/>
      <c r="AQ200" s="248" t="s">
        <v>422</v>
      </c>
      <c r="AR200" s="136">
        <v>172.38</v>
      </c>
      <c r="AS200" s="250">
        <f t="shared" si="36"/>
        <v>-0.16885245901639345</v>
      </c>
      <c r="AT200" s="251"/>
      <c r="AU200" s="248" t="s">
        <v>422</v>
      </c>
      <c r="AV200" s="136">
        <v>49</v>
      </c>
      <c r="AW200" s="250">
        <f t="shared" si="37"/>
        <v>-9.1246290801186958E-2</v>
      </c>
      <c r="AX200" s="251"/>
      <c r="AY200" s="248" t="s">
        <v>422</v>
      </c>
      <c r="AZ200" s="252">
        <v>2954.22</v>
      </c>
      <c r="BA200" s="250">
        <f t="shared" si="38"/>
        <v>-0.11490674855816052</v>
      </c>
    </row>
    <row r="201" spans="3:53" ht="14.25" customHeight="1" x14ac:dyDescent="0.35">
      <c r="C201" s="248" t="s">
        <v>423</v>
      </c>
      <c r="D201" s="249">
        <v>145.85</v>
      </c>
      <c r="E201" s="250">
        <f t="shared" si="26"/>
        <v>-7.7556296346691367E-3</v>
      </c>
      <c r="G201" s="248" t="s">
        <v>423</v>
      </c>
      <c r="H201" s="136">
        <v>60.13</v>
      </c>
      <c r="I201" s="250">
        <f t="shared" si="27"/>
        <v>3.0025020850708017E-3</v>
      </c>
      <c r="K201" s="248" t="s">
        <v>423</v>
      </c>
      <c r="L201" s="136">
        <v>29.5</v>
      </c>
      <c r="M201" s="250">
        <f t="shared" si="28"/>
        <v>2.1821960512642846E-2</v>
      </c>
      <c r="O201" s="248" t="s">
        <v>423</v>
      </c>
      <c r="P201" s="136">
        <v>34.869999999999997</v>
      </c>
      <c r="Q201" s="250">
        <f t="shared" si="29"/>
        <v>-1.7177211565989614E-3</v>
      </c>
      <c r="R201" s="251"/>
      <c r="S201" s="248" t="s">
        <v>423</v>
      </c>
      <c r="T201" s="136">
        <v>44.77</v>
      </c>
      <c r="U201" s="250">
        <f t="shared" si="30"/>
        <v>-7.8427336352408283E-2</v>
      </c>
      <c r="V201" s="251"/>
      <c r="W201" s="248" t="s">
        <v>423</v>
      </c>
      <c r="X201" s="136">
        <v>65.52</v>
      </c>
      <c r="Y201" s="250">
        <f t="shared" si="31"/>
        <v>-3.2343819229065152E-2</v>
      </c>
      <c r="Z201" s="251"/>
      <c r="AA201" s="248" t="s">
        <v>423</v>
      </c>
      <c r="AB201" s="136">
        <v>27.26</v>
      </c>
      <c r="AC201" s="250">
        <f t="shared" si="32"/>
        <v>1.4136904761904878E-2</v>
      </c>
      <c r="AD201" s="251"/>
      <c r="AE201" s="248" t="s">
        <v>423</v>
      </c>
      <c r="AF201" s="136">
        <v>58.75</v>
      </c>
      <c r="AG201" s="250">
        <f t="shared" si="33"/>
        <v>-1.5583109919571014E-2</v>
      </c>
      <c r="AH201" s="251"/>
      <c r="AI201" s="248" t="s">
        <v>423</v>
      </c>
      <c r="AJ201" s="136">
        <v>160.32</v>
      </c>
      <c r="AK201" s="250">
        <f t="shared" si="34"/>
        <v>-1.2473493825626569E-4</v>
      </c>
      <c r="AL201" s="251"/>
      <c r="AM201" s="248" t="s">
        <v>423</v>
      </c>
      <c r="AN201" s="136">
        <v>47.96</v>
      </c>
      <c r="AO201" s="250">
        <f t="shared" si="35"/>
        <v>-1.398026315789469E-2</v>
      </c>
      <c r="AP201" s="251"/>
      <c r="AQ201" s="248" t="s">
        <v>423</v>
      </c>
      <c r="AR201" s="136">
        <v>207.4</v>
      </c>
      <c r="AS201" s="250">
        <f t="shared" si="36"/>
        <v>1.7514595496246788E-2</v>
      </c>
      <c r="AT201" s="251"/>
      <c r="AU201" s="248" t="s">
        <v>423</v>
      </c>
      <c r="AV201" s="136">
        <v>53.92</v>
      </c>
      <c r="AW201" s="250">
        <f t="shared" si="37"/>
        <v>1.1442506096417171E-2</v>
      </c>
      <c r="AX201" s="251"/>
      <c r="AY201" s="248" t="s">
        <v>423</v>
      </c>
      <c r="AZ201" s="252">
        <v>3337.75</v>
      </c>
      <c r="BA201" s="250">
        <f t="shared" si="38"/>
        <v>-1.2546743349427181E-2</v>
      </c>
    </row>
    <row r="202" spans="3:53" ht="14.25" customHeight="1" x14ac:dyDescent="0.35">
      <c r="C202" s="253">
        <v>44076</v>
      </c>
      <c r="D202" s="249">
        <v>146.99</v>
      </c>
      <c r="E202" s="250">
        <f t="shared" si="26"/>
        <v>1.1143977436885111E-2</v>
      </c>
      <c r="G202" s="253">
        <v>44076</v>
      </c>
      <c r="H202" s="136">
        <v>59.95</v>
      </c>
      <c r="I202" s="250">
        <f t="shared" si="27"/>
        <v>1.2840006757898426E-2</v>
      </c>
      <c r="K202" s="253">
        <v>44076</v>
      </c>
      <c r="L202" s="136">
        <v>28.87</v>
      </c>
      <c r="M202" s="250">
        <f t="shared" si="28"/>
        <v>1.0500525026251317E-2</v>
      </c>
      <c r="O202" s="253">
        <v>44076</v>
      </c>
      <c r="P202" s="136">
        <v>34.93</v>
      </c>
      <c r="Q202" s="250">
        <f t="shared" si="29"/>
        <v>1.3933236574745989E-2</v>
      </c>
      <c r="R202" s="251"/>
      <c r="S202" s="253">
        <v>44076</v>
      </c>
      <c r="T202" s="136">
        <v>48.58</v>
      </c>
      <c r="U202" s="250">
        <f t="shared" si="30"/>
        <v>3.1641537481418514E-2</v>
      </c>
      <c r="V202" s="251"/>
      <c r="W202" s="253">
        <v>44076</v>
      </c>
      <c r="X202" s="136">
        <v>67.709999999999994</v>
      </c>
      <c r="Y202" s="250">
        <f t="shared" si="31"/>
        <v>5.5165965404394557E-2</v>
      </c>
      <c r="Z202" s="251"/>
      <c r="AA202" s="253">
        <v>44076</v>
      </c>
      <c r="AB202" s="136">
        <v>26.88</v>
      </c>
      <c r="AC202" s="250">
        <f t="shared" si="32"/>
        <v>-9.0047393364928952E-2</v>
      </c>
      <c r="AD202" s="251"/>
      <c r="AE202" s="253">
        <v>44076</v>
      </c>
      <c r="AF202" s="136">
        <v>59.68</v>
      </c>
      <c r="AG202" s="250">
        <f t="shared" si="33"/>
        <v>1.7388339584043733E-2</v>
      </c>
      <c r="AH202" s="251"/>
      <c r="AI202" s="253">
        <v>44076</v>
      </c>
      <c r="AJ202" s="136">
        <v>160.34</v>
      </c>
      <c r="AK202" s="250">
        <f t="shared" si="34"/>
        <v>2.7491188721563642E-2</v>
      </c>
      <c r="AL202" s="251"/>
      <c r="AM202" s="253">
        <v>44076</v>
      </c>
      <c r="AN202" s="136">
        <v>48.64</v>
      </c>
      <c r="AO202" s="250">
        <f t="shared" si="35"/>
        <v>-4.9099836333879043E-3</v>
      </c>
      <c r="AP202" s="251"/>
      <c r="AQ202" s="253">
        <v>44076</v>
      </c>
      <c r="AR202" s="136">
        <v>203.83</v>
      </c>
      <c r="AS202" s="250">
        <f t="shared" si="36"/>
        <v>1.7420385344913747E-2</v>
      </c>
      <c r="AT202" s="251"/>
      <c r="AU202" s="253">
        <v>44076</v>
      </c>
      <c r="AV202" s="136">
        <v>53.31</v>
      </c>
      <c r="AW202" s="250">
        <f t="shared" si="37"/>
        <v>2.7167630057803649E-2</v>
      </c>
      <c r="AX202" s="251"/>
      <c r="AY202" s="253">
        <v>44076</v>
      </c>
      <c r="AZ202" s="252">
        <v>3380.16</v>
      </c>
      <c r="BA202" s="250">
        <f t="shared" si="38"/>
        <v>1.5761589801995823E-2</v>
      </c>
    </row>
    <row r="203" spans="3:53" ht="14.25" customHeight="1" x14ac:dyDescent="0.35">
      <c r="C203" s="253">
        <v>43863</v>
      </c>
      <c r="D203" s="249">
        <v>145.37</v>
      </c>
      <c r="E203" s="250">
        <f t="shared" si="26"/>
        <v>2.3588227010280294E-2</v>
      </c>
      <c r="G203" s="253">
        <v>43863</v>
      </c>
      <c r="H203" s="136">
        <v>59.19</v>
      </c>
      <c r="I203" s="250">
        <f t="shared" si="27"/>
        <v>1.3527397260273855E-2</v>
      </c>
      <c r="K203" s="253">
        <v>43863</v>
      </c>
      <c r="L203" s="136">
        <v>28.57</v>
      </c>
      <c r="M203" s="250">
        <f t="shared" si="28"/>
        <v>1.40203294777419E-3</v>
      </c>
      <c r="O203" s="253">
        <v>43863</v>
      </c>
      <c r="P203" s="136">
        <v>34.450000000000003</v>
      </c>
      <c r="Q203" s="250">
        <f t="shared" si="29"/>
        <v>3.45345345345347E-2</v>
      </c>
      <c r="R203" s="251"/>
      <c r="S203" s="253">
        <v>43863</v>
      </c>
      <c r="T203" s="136">
        <v>47.09</v>
      </c>
      <c r="U203" s="250">
        <f t="shared" si="30"/>
        <v>-3.59712230215814E-3</v>
      </c>
      <c r="V203" s="251"/>
      <c r="W203" s="253">
        <v>43863</v>
      </c>
      <c r="X203" s="136">
        <v>64.17</v>
      </c>
      <c r="Y203" s="250">
        <f t="shared" si="31"/>
        <v>-5.9228852074475813E-2</v>
      </c>
      <c r="Z203" s="251"/>
      <c r="AA203" s="253">
        <v>43863</v>
      </c>
      <c r="AB203" s="136">
        <v>29.54</v>
      </c>
      <c r="AC203" s="250">
        <f t="shared" si="32"/>
        <v>1.1643835616438336E-2</v>
      </c>
      <c r="AD203" s="251"/>
      <c r="AE203" s="253">
        <v>43863</v>
      </c>
      <c r="AF203" s="136">
        <v>58.66</v>
      </c>
      <c r="AG203" s="250">
        <f t="shared" si="33"/>
        <v>2.2307424189613068E-2</v>
      </c>
      <c r="AH203" s="251"/>
      <c r="AI203" s="253">
        <v>43863</v>
      </c>
      <c r="AJ203" s="136">
        <v>156.05000000000001</v>
      </c>
      <c r="AK203" s="250">
        <f t="shared" si="34"/>
        <v>5.6711993297675622E-3</v>
      </c>
      <c r="AL203" s="251"/>
      <c r="AM203" s="253">
        <v>43863</v>
      </c>
      <c r="AN203" s="136">
        <v>48.88</v>
      </c>
      <c r="AO203" s="250">
        <f t="shared" si="35"/>
        <v>1.0126059103120477E-2</v>
      </c>
      <c r="AP203" s="251"/>
      <c r="AQ203" s="253">
        <v>43863</v>
      </c>
      <c r="AR203" s="136">
        <v>200.34</v>
      </c>
      <c r="AS203" s="250">
        <f t="shared" si="36"/>
        <v>6.3940520446096549E-2</v>
      </c>
      <c r="AT203" s="251"/>
      <c r="AU203" s="253">
        <v>43863</v>
      </c>
      <c r="AV203" s="136">
        <v>51.9</v>
      </c>
      <c r="AW203" s="250">
        <f t="shared" si="37"/>
        <v>-6.127920337035575E-3</v>
      </c>
      <c r="AX203" s="251"/>
      <c r="AY203" s="253">
        <v>43863</v>
      </c>
      <c r="AZ203" s="252">
        <v>3327.71</v>
      </c>
      <c r="BA203" s="250">
        <f t="shared" si="38"/>
        <v>3.1681713336144224E-2</v>
      </c>
    </row>
    <row r="204" spans="3:53" ht="14.25" customHeight="1" x14ac:dyDescent="0.35">
      <c r="C204" s="248" t="s">
        <v>424</v>
      </c>
      <c r="D204" s="249">
        <v>142.02000000000001</v>
      </c>
      <c r="E204" s="250">
        <f t="shared" si="26"/>
        <v>-6.2276957525714272E-3</v>
      </c>
      <c r="G204" s="248" t="s">
        <v>424</v>
      </c>
      <c r="H204" s="136">
        <v>58.4</v>
      </c>
      <c r="I204" s="250">
        <f t="shared" si="27"/>
        <v>1.2482662968099856E-2</v>
      </c>
      <c r="K204" s="248" t="s">
        <v>424</v>
      </c>
      <c r="L204" s="136">
        <v>28.53</v>
      </c>
      <c r="M204" s="250">
        <f t="shared" si="28"/>
        <v>1.747503566333819E-2</v>
      </c>
      <c r="O204" s="248" t="s">
        <v>424</v>
      </c>
      <c r="P204" s="136">
        <v>33.299999999999997</v>
      </c>
      <c r="Q204" s="250">
        <f t="shared" si="29"/>
        <v>-7.4515648286139768E-3</v>
      </c>
      <c r="R204" s="251"/>
      <c r="S204" s="248" t="s">
        <v>424</v>
      </c>
      <c r="T204" s="136">
        <v>47.26</v>
      </c>
      <c r="U204" s="250">
        <f t="shared" si="30"/>
        <v>6.3518949820040582E-4</v>
      </c>
      <c r="V204" s="251"/>
      <c r="W204" s="248" t="s">
        <v>424</v>
      </c>
      <c r="X204" s="136">
        <v>68.209999999999994</v>
      </c>
      <c r="Y204" s="250">
        <f t="shared" si="31"/>
        <v>-1.6296509950966431E-2</v>
      </c>
      <c r="Z204" s="251"/>
      <c r="AA204" s="248" t="s">
        <v>424</v>
      </c>
      <c r="AB204" s="136">
        <v>29.2</v>
      </c>
      <c r="AC204" s="250">
        <f t="shared" si="32"/>
        <v>-3.978954291351533E-2</v>
      </c>
      <c r="AD204" s="251"/>
      <c r="AE204" s="248" t="s">
        <v>424</v>
      </c>
      <c r="AF204" s="136">
        <v>57.38</v>
      </c>
      <c r="AG204" s="250">
        <f t="shared" si="33"/>
        <v>4.1568342711925999E-2</v>
      </c>
      <c r="AH204" s="251"/>
      <c r="AI204" s="248" t="s">
        <v>424</v>
      </c>
      <c r="AJ204" s="136">
        <v>155.16999999999999</v>
      </c>
      <c r="AK204" s="250">
        <f t="shared" si="34"/>
        <v>3.1678303594515622E-3</v>
      </c>
      <c r="AL204" s="251"/>
      <c r="AM204" s="248" t="s">
        <v>424</v>
      </c>
      <c r="AN204" s="136">
        <v>48.39</v>
      </c>
      <c r="AO204" s="250">
        <f t="shared" si="35"/>
        <v>-8.1984013117442078E-3</v>
      </c>
      <c r="AP204" s="251"/>
      <c r="AQ204" s="248" t="s">
        <v>424</v>
      </c>
      <c r="AR204" s="136">
        <v>188.3</v>
      </c>
      <c r="AS204" s="250">
        <f t="shared" si="36"/>
        <v>-1.7018166631864617E-2</v>
      </c>
      <c r="AT204" s="251"/>
      <c r="AU204" s="248" t="s">
        <v>424</v>
      </c>
      <c r="AV204" s="136">
        <v>52.22</v>
      </c>
      <c r="AW204" s="250">
        <f t="shared" si="37"/>
        <v>-2.7741575125674989E-2</v>
      </c>
      <c r="AX204" s="251"/>
      <c r="AY204" s="248" t="s">
        <v>424</v>
      </c>
      <c r="AZ204" s="252">
        <v>3225.52</v>
      </c>
      <c r="BA204" s="250">
        <f t="shared" si="38"/>
        <v>-2.1226107353427559E-2</v>
      </c>
    </row>
    <row r="205" spans="3:53" ht="14.25" customHeight="1" x14ac:dyDescent="0.35">
      <c r="C205" s="248" t="s">
        <v>425</v>
      </c>
      <c r="D205" s="249">
        <v>142.91</v>
      </c>
      <c r="E205" s="250">
        <f t="shared" si="26"/>
        <v>1.1680588984850582E-2</v>
      </c>
      <c r="G205" s="248" t="s">
        <v>425</v>
      </c>
      <c r="H205" s="136">
        <v>57.68</v>
      </c>
      <c r="I205" s="250">
        <f t="shared" si="27"/>
        <v>1.299613628380758E-2</v>
      </c>
      <c r="K205" s="248" t="s">
        <v>425</v>
      </c>
      <c r="L205" s="136">
        <v>28.04</v>
      </c>
      <c r="M205" s="250">
        <f t="shared" si="28"/>
        <v>1.3371882905673926E-2</v>
      </c>
      <c r="O205" s="248" t="s">
        <v>425</v>
      </c>
      <c r="P205" s="136">
        <v>33.549999999999997</v>
      </c>
      <c r="Q205" s="250">
        <f t="shared" si="29"/>
        <v>-3.2679738562091387E-3</v>
      </c>
      <c r="R205" s="251"/>
      <c r="S205" s="248" t="s">
        <v>425</v>
      </c>
      <c r="T205" s="136">
        <v>47.23</v>
      </c>
      <c r="U205" s="250">
        <f t="shared" si="30"/>
        <v>2.0086393088552867E-2</v>
      </c>
      <c r="V205" s="251"/>
      <c r="W205" s="248" t="s">
        <v>425</v>
      </c>
      <c r="X205" s="136">
        <v>69.34</v>
      </c>
      <c r="Y205" s="250">
        <f t="shared" si="31"/>
        <v>-2.1726862302482997E-2</v>
      </c>
      <c r="Z205" s="251"/>
      <c r="AA205" s="248" t="s">
        <v>425</v>
      </c>
      <c r="AB205" s="136">
        <v>30.41</v>
      </c>
      <c r="AC205" s="250">
        <f t="shared" si="32"/>
        <v>-1.9980663873670701E-2</v>
      </c>
      <c r="AD205" s="251"/>
      <c r="AE205" s="248" t="s">
        <v>425</v>
      </c>
      <c r="AF205" s="136">
        <v>55.09</v>
      </c>
      <c r="AG205" s="250">
        <f t="shared" si="33"/>
        <v>-1.2690355329948444E-3</v>
      </c>
      <c r="AH205" s="251"/>
      <c r="AI205" s="248" t="s">
        <v>425</v>
      </c>
      <c r="AJ205" s="136">
        <v>154.68</v>
      </c>
      <c r="AK205" s="250">
        <f t="shared" si="34"/>
        <v>2.5389459728206942E-2</v>
      </c>
      <c r="AL205" s="251"/>
      <c r="AM205" s="248" t="s">
        <v>425</v>
      </c>
      <c r="AN205" s="136">
        <v>48.79</v>
      </c>
      <c r="AO205" s="250">
        <f t="shared" si="35"/>
        <v>1.60349854227404E-2</v>
      </c>
      <c r="AP205" s="251"/>
      <c r="AQ205" s="248" t="s">
        <v>425</v>
      </c>
      <c r="AR205" s="136">
        <v>191.56</v>
      </c>
      <c r="AS205" s="250">
        <f t="shared" si="36"/>
        <v>8.4759147143986802E-3</v>
      </c>
      <c r="AT205" s="251"/>
      <c r="AU205" s="248" t="s">
        <v>425</v>
      </c>
      <c r="AV205" s="136">
        <v>53.71</v>
      </c>
      <c r="AW205" s="250">
        <f t="shared" si="37"/>
        <v>-2.5998142989787087E-3</v>
      </c>
      <c r="AX205" s="251"/>
      <c r="AY205" s="248" t="s">
        <v>425</v>
      </c>
      <c r="AZ205" s="252">
        <v>3295.47</v>
      </c>
      <c r="BA205" s="250">
        <f t="shared" si="38"/>
        <v>-1.0256425658183299E-2</v>
      </c>
    </row>
    <row r="206" spans="3:53" ht="14.25" customHeight="1" x14ac:dyDescent="0.35">
      <c r="C206" s="253">
        <v>44166</v>
      </c>
      <c r="D206" s="249">
        <v>141.26</v>
      </c>
      <c r="E206" s="250">
        <f t="shared" si="26"/>
        <v>5.002601650189531E-2</v>
      </c>
      <c r="G206" s="253">
        <v>44166</v>
      </c>
      <c r="H206" s="136">
        <v>56.94</v>
      </c>
      <c r="I206" s="250">
        <f t="shared" si="27"/>
        <v>2.5391680172879516E-2</v>
      </c>
      <c r="K206" s="253">
        <v>44166</v>
      </c>
      <c r="L206" s="136">
        <v>27.67</v>
      </c>
      <c r="M206" s="250">
        <f t="shared" si="28"/>
        <v>-7.5322812051649146E-3</v>
      </c>
      <c r="O206" s="253">
        <v>44166</v>
      </c>
      <c r="P206" s="136">
        <v>33.659999999999997</v>
      </c>
      <c r="Q206" s="250">
        <f t="shared" si="29"/>
        <v>3.0303030303030054E-2</v>
      </c>
      <c r="R206" s="251"/>
      <c r="S206" s="253">
        <v>44166</v>
      </c>
      <c r="T206" s="136">
        <v>46.3</v>
      </c>
      <c r="U206" s="250">
        <f t="shared" si="30"/>
        <v>3.1180400890868487E-2</v>
      </c>
      <c r="V206" s="251"/>
      <c r="W206" s="253">
        <v>44166</v>
      </c>
      <c r="X206" s="136">
        <v>70.88</v>
      </c>
      <c r="Y206" s="250">
        <f t="shared" si="31"/>
        <v>2.3242384870795441E-2</v>
      </c>
      <c r="Z206" s="251"/>
      <c r="AA206" s="253">
        <v>44166</v>
      </c>
      <c r="AB206" s="136">
        <v>31.03</v>
      </c>
      <c r="AC206" s="250">
        <f t="shared" si="32"/>
        <v>1.0749185667752403E-2</v>
      </c>
      <c r="AD206" s="251"/>
      <c r="AE206" s="253">
        <v>44166</v>
      </c>
      <c r="AF206" s="136">
        <v>55.16</v>
      </c>
      <c r="AG206" s="250">
        <f t="shared" si="33"/>
        <v>1.677419354838694E-2</v>
      </c>
      <c r="AH206" s="251"/>
      <c r="AI206" s="253">
        <v>44166</v>
      </c>
      <c r="AJ206" s="136">
        <v>150.85</v>
      </c>
      <c r="AK206" s="250">
        <f t="shared" si="34"/>
        <v>1.8362249375548423E-2</v>
      </c>
      <c r="AL206" s="251"/>
      <c r="AM206" s="253">
        <v>44166</v>
      </c>
      <c r="AN206" s="136">
        <v>48.02</v>
      </c>
      <c r="AO206" s="250">
        <f t="shared" si="35"/>
        <v>6.0758432851457655E-3</v>
      </c>
      <c r="AP206" s="251"/>
      <c r="AQ206" s="253">
        <v>44166</v>
      </c>
      <c r="AR206" s="136">
        <v>189.95</v>
      </c>
      <c r="AS206" s="250">
        <f t="shared" si="36"/>
        <v>8.3342180698586787E-3</v>
      </c>
      <c r="AT206" s="251"/>
      <c r="AU206" s="253">
        <v>44166</v>
      </c>
      <c r="AV206" s="136">
        <v>53.85</v>
      </c>
      <c r="AW206" s="250">
        <f t="shared" si="37"/>
        <v>3.0622009569378106E-2</v>
      </c>
      <c r="AX206" s="251"/>
      <c r="AY206" s="253">
        <v>44166</v>
      </c>
      <c r="AZ206" s="252">
        <v>3329.62</v>
      </c>
      <c r="BA206" s="250">
        <f t="shared" si="38"/>
        <v>1.9682423017440609E-2</v>
      </c>
    </row>
    <row r="207" spans="3:53" ht="14.25" customHeight="1" x14ac:dyDescent="0.35">
      <c r="C207" s="253">
        <v>43952</v>
      </c>
      <c r="D207" s="249">
        <v>134.53</v>
      </c>
      <c r="E207" s="250">
        <f t="shared" si="26"/>
        <v>-8.1103000811029169E-3</v>
      </c>
      <c r="G207" s="253">
        <v>43952</v>
      </c>
      <c r="H207" s="136">
        <v>55.53</v>
      </c>
      <c r="I207" s="250">
        <f t="shared" si="27"/>
        <v>1.5359297860669363E-2</v>
      </c>
      <c r="K207" s="253">
        <v>43952</v>
      </c>
      <c r="L207" s="136">
        <v>27.88</v>
      </c>
      <c r="M207" s="250">
        <f t="shared" si="28"/>
        <v>-3.2280458174245075E-2</v>
      </c>
      <c r="O207" s="253">
        <v>43952</v>
      </c>
      <c r="P207" s="136">
        <v>32.67</v>
      </c>
      <c r="Q207" s="250">
        <f t="shared" si="29"/>
        <v>3.2553729456384461E-2</v>
      </c>
      <c r="R207" s="251"/>
      <c r="S207" s="253">
        <v>43952</v>
      </c>
      <c r="T207" s="136">
        <v>44.9</v>
      </c>
      <c r="U207" s="250">
        <f t="shared" si="30"/>
        <v>1.4689265536723228E-2</v>
      </c>
      <c r="V207" s="251"/>
      <c r="W207" s="253">
        <v>43952</v>
      </c>
      <c r="X207" s="136">
        <v>69.27</v>
      </c>
      <c r="Y207" s="250">
        <f t="shared" si="31"/>
        <v>1.8676470588235183E-2</v>
      </c>
      <c r="Z207" s="251"/>
      <c r="AA207" s="253">
        <v>43952</v>
      </c>
      <c r="AB207" s="136">
        <v>30.7</v>
      </c>
      <c r="AC207" s="250">
        <f t="shared" si="32"/>
        <v>-1.7285531370038409E-2</v>
      </c>
      <c r="AD207" s="251"/>
      <c r="AE207" s="253">
        <v>43952</v>
      </c>
      <c r="AF207" s="136">
        <v>54.25</v>
      </c>
      <c r="AG207" s="250">
        <f t="shared" si="33"/>
        <v>1.8436578171088236E-4</v>
      </c>
      <c r="AH207" s="251"/>
      <c r="AI207" s="253">
        <v>43952</v>
      </c>
      <c r="AJ207" s="136">
        <v>148.13</v>
      </c>
      <c r="AK207" s="250">
        <f t="shared" si="34"/>
        <v>1.9757675891505011E-2</v>
      </c>
      <c r="AL207" s="251"/>
      <c r="AM207" s="253">
        <v>43952</v>
      </c>
      <c r="AN207" s="136">
        <v>47.73</v>
      </c>
      <c r="AO207" s="250">
        <f t="shared" si="35"/>
        <v>-1.4453850918851985E-2</v>
      </c>
      <c r="AP207" s="251"/>
      <c r="AQ207" s="253">
        <v>43952</v>
      </c>
      <c r="AR207" s="136">
        <v>188.38</v>
      </c>
      <c r="AS207" s="250">
        <f t="shared" si="36"/>
        <v>-6.0676410067007636E-3</v>
      </c>
      <c r="AT207" s="251"/>
      <c r="AU207" s="253">
        <v>43952</v>
      </c>
      <c r="AV207" s="136">
        <v>52.25</v>
      </c>
      <c r="AW207" s="250">
        <f t="shared" si="37"/>
        <v>5.9684251058913507E-3</v>
      </c>
      <c r="AX207" s="251"/>
      <c r="AY207" s="253">
        <v>43952</v>
      </c>
      <c r="AZ207" s="252">
        <v>3265.35</v>
      </c>
      <c r="BA207" s="250">
        <f t="shared" si="38"/>
        <v>9.4285670123808174E-3</v>
      </c>
    </row>
    <row r="208" spans="3:53" ht="14.25" customHeight="1" x14ac:dyDescent="0.35">
      <c r="C208" s="248" t="s">
        <v>426</v>
      </c>
      <c r="D208" s="249">
        <v>135.63</v>
      </c>
      <c r="E208" s="250">
        <f t="shared" si="26"/>
        <v>-1.3886869274392866E-2</v>
      </c>
      <c r="G208" s="248" t="s">
        <v>426</v>
      </c>
      <c r="H208" s="136">
        <v>54.69</v>
      </c>
      <c r="I208" s="250">
        <f t="shared" si="27"/>
        <v>-1.1924119241192521E-2</v>
      </c>
      <c r="K208" s="248" t="s">
        <v>426</v>
      </c>
      <c r="L208" s="136">
        <v>28.81</v>
      </c>
      <c r="M208" s="250">
        <f t="shared" si="28"/>
        <v>-1.0402219140083213E-3</v>
      </c>
      <c r="O208" s="248" t="s">
        <v>426</v>
      </c>
      <c r="P208" s="136">
        <v>31.64</v>
      </c>
      <c r="Q208" s="250">
        <f t="shared" si="29"/>
        <v>-4.7184649260773037E-3</v>
      </c>
      <c r="R208" s="251"/>
      <c r="S208" s="248" t="s">
        <v>426</v>
      </c>
      <c r="T208" s="136">
        <v>44.25</v>
      </c>
      <c r="U208" s="250">
        <f t="shared" si="30"/>
        <v>-2.2315510384445347E-2</v>
      </c>
      <c r="V208" s="251"/>
      <c r="W208" s="248" t="s">
        <v>426</v>
      </c>
      <c r="X208" s="136">
        <v>68</v>
      </c>
      <c r="Y208" s="250">
        <f t="shared" si="31"/>
        <v>-1.6772700983227251E-2</v>
      </c>
      <c r="Z208" s="251"/>
      <c r="AA208" s="248" t="s">
        <v>426</v>
      </c>
      <c r="AB208" s="136">
        <v>31.24</v>
      </c>
      <c r="AC208" s="250">
        <f t="shared" si="32"/>
        <v>-1.2017710309930485E-2</v>
      </c>
      <c r="AD208" s="251"/>
      <c r="AE208" s="248" t="s">
        <v>426</v>
      </c>
      <c r="AF208" s="136">
        <v>54.24</v>
      </c>
      <c r="AG208" s="250">
        <f t="shared" si="33"/>
        <v>-1.8813314037626649E-2</v>
      </c>
      <c r="AH208" s="251"/>
      <c r="AI208" s="248" t="s">
        <v>426</v>
      </c>
      <c r="AJ208" s="136">
        <v>145.26</v>
      </c>
      <c r="AK208" s="250">
        <f t="shared" si="34"/>
        <v>-1.5986993632299273E-2</v>
      </c>
      <c r="AL208" s="251"/>
      <c r="AM208" s="248" t="s">
        <v>426</v>
      </c>
      <c r="AN208" s="136">
        <v>48.43</v>
      </c>
      <c r="AO208" s="250">
        <f t="shared" si="35"/>
        <v>-2.082490901738776E-2</v>
      </c>
      <c r="AP208" s="251"/>
      <c r="AQ208" s="248" t="s">
        <v>426</v>
      </c>
      <c r="AR208" s="136">
        <v>189.53</v>
      </c>
      <c r="AS208" s="250">
        <f t="shared" si="36"/>
        <v>1.5853722982615004E-3</v>
      </c>
      <c r="AT208" s="251"/>
      <c r="AU208" s="248" t="s">
        <v>426</v>
      </c>
      <c r="AV208" s="136">
        <v>51.94</v>
      </c>
      <c r="AW208" s="250">
        <f t="shared" si="37"/>
        <v>-2.3500658018424492E-2</v>
      </c>
      <c r="AX208" s="251"/>
      <c r="AY208" s="248" t="s">
        <v>426</v>
      </c>
      <c r="AZ208" s="252">
        <v>3234.85</v>
      </c>
      <c r="BA208" s="250">
        <f t="shared" si="38"/>
        <v>-1.5956691625360619E-3</v>
      </c>
    </row>
    <row r="209" spans="3:53" ht="14.25" customHeight="1" x14ac:dyDescent="0.35">
      <c r="C209" s="248" t="s">
        <v>427</v>
      </c>
      <c r="D209" s="249">
        <v>137.54</v>
      </c>
      <c r="E209" s="250">
        <f t="shared" si="26"/>
        <v>-2.7552204176334305E-3</v>
      </c>
      <c r="G209" s="248" t="s">
        <v>427</v>
      </c>
      <c r="H209" s="136">
        <v>55.35</v>
      </c>
      <c r="I209" s="250">
        <f t="shared" si="27"/>
        <v>6.9128615608513577E-3</v>
      </c>
      <c r="K209" s="248" t="s">
        <v>427</v>
      </c>
      <c r="L209" s="136">
        <v>28.84</v>
      </c>
      <c r="M209" s="250">
        <f t="shared" si="28"/>
        <v>-1.0391409767925852E-3</v>
      </c>
      <c r="O209" s="248" t="s">
        <v>427</v>
      </c>
      <c r="P209" s="136">
        <v>31.79</v>
      </c>
      <c r="Q209" s="250">
        <f t="shared" si="29"/>
        <v>-5.3191489361702482E-3</v>
      </c>
      <c r="R209" s="251"/>
      <c r="S209" s="248" t="s">
        <v>427</v>
      </c>
      <c r="T209" s="136">
        <v>45.26</v>
      </c>
      <c r="U209" s="250">
        <f t="shared" si="30"/>
        <v>6.6725978647685924E-3</v>
      </c>
      <c r="V209" s="251"/>
      <c r="W209" s="248" t="s">
        <v>427</v>
      </c>
      <c r="X209" s="136">
        <v>69.16</v>
      </c>
      <c r="Y209" s="250">
        <f t="shared" si="31"/>
        <v>7.575757575757569E-3</v>
      </c>
      <c r="Z209" s="251"/>
      <c r="AA209" s="248" t="s">
        <v>427</v>
      </c>
      <c r="AB209" s="136">
        <v>31.62</v>
      </c>
      <c r="AC209" s="250">
        <f t="shared" si="32"/>
        <v>-1.8621973929236479E-2</v>
      </c>
      <c r="AD209" s="251"/>
      <c r="AE209" s="248" t="s">
        <v>427</v>
      </c>
      <c r="AF209" s="136">
        <v>55.28</v>
      </c>
      <c r="AG209" s="250">
        <f t="shared" si="33"/>
        <v>-2.1660649819493782E-3</v>
      </c>
      <c r="AH209" s="251"/>
      <c r="AI209" s="248" t="s">
        <v>427</v>
      </c>
      <c r="AJ209" s="136">
        <v>147.62</v>
      </c>
      <c r="AK209" s="250">
        <f t="shared" si="34"/>
        <v>1.2208355941401017E-3</v>
      </c>
      <c r="AL209" s="251"/>
      <c r="AM209" s="248" t="s">
        <v>427</v>
      </c>
      <c r="AN209" s="136">
        <v>49.46</v>
      </c>
      <c r="AO209" s="250">
        <f t="shared" si="35"/>
        <v>5.8979052267642551E-3</v>
      </c>
      <c r="AP209" s="251"/>
      <c r="AQ209" s="248" t="s">
        <v>427</v>
      </c>
      <c r="AR209" s="136">
        <v>189.23</v>
      </c>
      <c r="AS209" s="250">
        <f t="shared" si="36"/>
        <v>1.746956061408067E-3</v>
      </c>
      <c r="AT209" s="251"/>
      <c r="AU209" s="248" t="s">
        <v>427</v>
      </c>
      <c r="AV209" s="136">
        <v>53.19</v>
      </c>
      <c r="AW209" s="250">
        <f t="shared" si="37"/>
        <v>-1.6891891891892552E-3</v>
      </c>
      <c r="AX209" s="251"/>
      <c r="AY209" s="248" t="s">
        <v>427</v>
      </c>
      <c r="AZ209" s="252">
        <v>3240.02</v>
      </c>
      <c r="BA209" s="250">
        <f t="shared" si="38"/>
        <v>5.836298048565558E-3</v>
      </c>
    </row>
    <row r="210" spans="3:53" ht="14.25" customHeight="1" x14ac:dyDescent="0.35">
      <c r="C210" s="248" t="s">
        <v>428</v>
      </c>
      <c r="D210" s="249">
        <v>137.91999999999999</v>
      </c>
      <c r="E210" s="250">
        <f t="shared" si="26"/>
        <v>-1.4499057561268014E-4</v>
      </c>
      <c r="G210" s="248" t="s">
        <v>428</v>
      </c>
      <c r="H210" s="136">
        <v>54.97</v>
      </c>
      <c r="I210" s="250">
        <f t="shared" si="27"/>
        <v>1.010657846379992E-2</v>
      </c>
      <c r="K210" s="248" t="s">
        <v>428</v>
      </c>
      <c r="L210" s="136">
        <v>28.87</v>
      </c>
      <c r="M210" s="250">
        <f t="shared" si="28"/>
        <v>3.8247566063978056E-3</v>
      </c>
      <c r="O210" s="248" t="s">
        <v>428</v>
      </c>
      <c r="P210" s="136">
        <v>31.96</v>
      </c>
      <c r="Q210" s="250">
        <f t="shared" si="29"/>
        <v>2.732240437158473E-2</v>
      </c>
      <c r="R210" s="251"/>
      <c r="S210" s="248" t="s">
        <v>428</v>
      </c>
      <c r="T210" s="136">
        <v>44.96</v>
      </c>
      <c r="U210" s="250">
        <f t="shared" si="30"/>
        <v>1.3363028953230494E-3</v>
      </c>
      <c r="V210" s="251"/>
      <c r="W210" s="248" t="s">
        <v>428</v>
      </c>
      <c r="X210" s="136">
        <v>68.64</v>
      </c>
      <c r="Y210" s="250">
        <f t="shared" si="31"/>
        <v>3.6075471698113315E-2</v>
      </c>
      <c r="Z210" s="251"/>
      <c r="AA210" s="248" t="s">
        <v>428</v>
      </c>
      <c r="AB210" s="136">
        <v>32.22</v>
      </c>
      <c r="AC210" s="250">
        <f t="shared" si="32"/>
        <v>1.9620253164556845E-2</v>
      </c>
      <c r="AD210" s="251"/>
      <c r="AE210" s="248" t="s">
        <v>428</v>
      </c>
      <c r="AF210" s="136">
        <v>55.4</v>
      </c>
      <c r="AG210" s="250">
        <f t="shared" si="33"/>
        <v>4.0570999248685125E-2</v>
      </c>
      <c r="AH210" s="251"/>
      <c r="AI210" s="248" t="s">
        <v>428</v>
      </c>
      <c r="AJ210" s="136">
        <v>147.44</v>
      </c>
      <c r="AK210" s="250">
        <f t="shared" si="34"/>
        <v>1.9707781175670736E-3</v>
      </c>
      <c r="AL210" s="251"/>
      <c r="AM210" s="248" t="s">
        <v>428</v>
      </c>
      <c r="AN210" s="136">
        <v>49.17</v>
      </c>
      <c r="AO210" s="250">
        <f t="shared" si="35"/>
        <v>2.7371500208942745E-2</v>
      </c>
      <c r="AP210" s="251"/>
      <c r="AQ210" s="248" t="s">
        <v>428</v>
      </c>
      <c r="AR210" s="136">
        <v>188.9</v>
      </c>
      <c r="AS210" s="250">
        <f t="shared" si="36"/>
        <v>3.7570031857629305E-2</v>
      </c>
      <c r="AT210" s="251"/>
      <c r="AU210" s="248" t="s">
        <v>428</v>
      </c>
      <c r="AV210" s="136">
        <v>53.28</v>
      </c>
      <c r="AW210" s="250">
        <f t="shared" si="37"/>
        <v>3.2558139534883734E-2</v>
      </c>
      <c r="AX210" s="251"/>
      <c r="AY210" s="248" t="s">
        <v>428</v>
      </c>
      <c r="AZ210" s="252">
        <v>3221.22</v>
      </c>
      <c r="BA210" s="250">
        <f t="shared" si="38"/>
        <v>1.6542539762686159E-2</v>
      </c>
    </row>
    <row r="211" spans="3:53" ht="14.25" customHeight="1" x14ac:dyDescent="0.35">
      <c r="C211" s="253">
        <v>43689</v>
      </c>
      <c r="D211" s="249">
        <v>137.94</v>
      </c>
      <c r="E211" s="250">
        <f t="shared" si="26"/>
        <v>4.2224810716364747E-3</v>
      </c>
      <c r="G211" s="253">
        <v>43689</v>
      </c>
      <c r="H211" s="136">
        <v>54.42</v>
      </c>
      <c r="I211" s="250">
        <f t="shared" si="27"/>
        <v>0</v>
      </c>
      <c r="K211" s="253">
        <v>43689</v>
      </c>
      <c r="L211" s="136">
        <v>28.76</v>
      </c>
      <c r="M211" s="250">
        <f t="shared" si="28"/>
        <v>-1.8094912939569774E-2</v>
      </c>
      <c r="O211" s="253">
        <v>43689</v>
      </c>
      <c r="P211" s="136">
        <v>31.11</v>
      </c>
      <c r="Q211" s="250">
        <f t="shared" si="29"/>
        <v>3.6309127248500994E-2</v>
      </c>
      <c r="R211" s="251"/>
      <c r="S211" s="253">
        <v>43689</v>
      </c>
      <c r="T211" s="136">
        <v>44.9</v>
      </c>
      <c r="U211" s="250">
        <f t="shared" si="30"/>
        <v>-9.7044552271725593E-3</v>
      </c>
      <c r="V211" s="251"/>
      <c r="W211" s="253">
        <v>43689</v>
      </c>
      <c r="X211" s="136">
        <v>66.25</v>
      </c>
      <c r="Y211" s="250">
        <f t="shared" si="31"/>
        <v>4.5303533675622454E-4</v>
      </c>
      <c r="Z211" s="251"/>
      <c r="AA211" s="253">
        <v>43689</v>
      </c>
      <c r="AB211" s="136">
        <v>31.6</v>
      </c>
      <c r="AC211" s="250">
        <f t="shared" si="32"/>
        <v>1.6403988420714111E-2</v>
      </c>
      <c r="AD211" s="251"/>
      <c r="AE211" s="253">
        <v>43689</v>
      </c>
      <c r="AF211" s="136">
        <v>53.24</v>
      </c>
      <c r="AG211" s="250">
        <f t="shared" si="33"/>
        <v>-1.1144130757800963E-2</v>
      </c>
      <c r="AH211" s="251"/>
      <c r="AI211" s="253">
        <v>43689</v>
      </c>
      <c r="AJ211" s="136">
        <v>147.15</v>
      </c>
      <c r="AK211" s="250">
        <f t="shared" si="34"/>
        <v>-1.4070351758793898E-2</v>
      </c>
      <c r="AL211" s="251"/>
      <c r="AM211" s="253">
        <v>43689</v>
      </c>
      <c r="AN211" s="136">
        <v>47.86</v>
      </c>
      <c r="AO211" s="250">
        <f t="shared" si="35"/>
        <v>2.3036649214660532E-3</v>
      </c>
      <c r="AP211" s="251"/>
      <c r="AQ211" s="253">
        <v>43689</v>
      </c>
      <c r="AR211" s="136">
        <v>182.06</v>
      </c>
      <c r="AS211" s="250">
        <f t="shared" si="36"/>
        <v>-8.6577729376531298E-3</v>
      </c>
      <c r="AT211" s="251"/>
      <c r="AU211" s="253">
        <v>43689</v>
      </c>
      <c r="AV211" s="136">
        <v>51.6</v>
      </c>
      <c r="AW211" s="250">
        <f t="shared" si="37"/>
        <v>-3.2076533483399006E-2</v>
      </c>
      <c r="AX211" s="251"/>
      <c r="AY211" s="253">
        <v>43689</v>
      </c>
      <c r="AZ211" s="252">
        <v>3168.8</v>
      </c>
      <c r="BA211" s="250">
        <f t="shared" si="38"/>
        <v>7.2761140655646095E-3</v>
      </c>
    </row>
    <row r="212" spans="3:53" ht="14.25" customHeight="1" x14ac:dyDescent="0.35">
      <c r="C212" s="253">
        <v>43477</v>
      </c>
      <c r="D212" s="249">
        <v>137.36000000000001</v>
      </c>
      <c r="E212" s="250">
        <f t="shared" si="26"/>
        <v>1.126408010012514E-2</v>
      </c>
      <c r="G212" s="253">
        <v>43477</v>
      </c>
      <c r="H212" s="136">
        <v>54.42</v>
      </c>
      <c r="I212" s="250">
        <f t="shared" si="27"/>
        <v>1.9101123595505642E-2</v>
      </c>
      <c r="K212" s="253">
        <v>43477</v>
      </c>
      <c r="L212" s="136">
        <v>29.29</v>
      </c>
      <c r="M212" s="250">
        <f t="shared" si="28"/>
        <v>-5.3329023917259244E-2</v>
      </c>
      <c r="O212" s="253">
        <v>43477</v>
      </c>
      <c r="P212" s="136">
        <v>30.02</v>
      </c>
      <c r="Q212" s="250">
        <f t="shared" si="29"/>
        <v>3.6776997659644373E-3</v>
      </c>
      <c r="R212" s="251"/>
      <c r="S212" s="253">
        <v>43477</v>
      </c>
      <c r="T212" s="136">
        <v>45.34</v>
      </c>
      <c r="U212" s="250">
        <f t="shared" si="30"/>
        <v>1.818998428026064E-2</v>
      </c>
      <c r="V212" s="251"/>
      <c r="W212" s="253">
        <v>43477</v>
      </c>
      <c r="X212" s="136">
        <v>66.22</v>
      </c>
      <c r="Y212" s="250">
        <f t="shared" si="31"/>
        <v>1.6891891891891886E-2</v>
      </c>
      <c r="Z212" s="251"/>
      <c r="AA212" s="253">
        <v>43477</v>
      </c>
      <c r="AB212" s="136">
        <v>31.09</v>
      </c>
      <c r="AC212" s="250">
        <f t="shared" si="32"/>
        <v>1.9344262295081904E-2</v>
      </c>
      <c r="AD212" s="251"/>
      <c r="AE212" s="253">
        <v>43477</v>
      </c>
      <c r="AF212" s="136">
        <v>53.84</v>
      </c>
      <c r="AG212" s="250">
        <f t="shared" si="33"/>
        <v>2.4743052912067132E-2</v>
      </c>
      <c r="AH212" s="251"/>
      <c r="AI212" s="253">
        <v>43477</v>
      </c>
      <c r="AJ212" s="136">
        <v>149.25</v>
      </c>
      <c r="AK212" s="250">
        <f t="shared" si="34"/>
        <v>7.356911447084169E-3</v>
      </c>
      <c r="AL212" s="251"/>
      <c r="AM212" s="253">
        <v>43477</v>
      </c>
      <c r="AN212" s="136">
        <v>47.75</v>
      </c>
      <c r="AO212" s="250">
        <f t="shared" si="35"/>
        <v>2.5338200558299384E-2</v>
      </c>
      <c r="AP212" s="251"/>
      <c r="AQ212" s="253">
        <v>43477</v>
      </c>
      <c r="AR212" s="136">
        <v>183.65</v>
      </c>
      <c r="AS212" s="250">
        <f t="shared" si="36"/>
        <v>-1.2952810921208147E-2</v>
      </c>
      <c r="AT212" s="251"/>
      <c r="AU212" s="253">
        <v>43477</v>
      </c>
      <c r="AV212" s="136">
        <v>53.31</v>
      </c>
      <c r="AW212" s="250">
        <f t="shared" si="37"/>
        <v>-1.8754688672162345E-4</v>
      </c>
      <c r="AX212" s="251"/>
      <c r="AY212" s="253">
        <v>43477</v>
      </c>
      <c r="AZ212" s="252">
        <v>3145.91</v>
      </c>
      <c r="BA212" s="250">
        <f t="shared" si="38"/>
        <v>1.5695738272767379E-3</v>
      </c>
    </row>
    <row r="213" spans="3:53" ht="14.25" customHeight="1" x14ac:dyDescent="0.35">
      <c r="C213" s="248" t="s">
        <v>429</v>
      </c>
      <c r="D213" s="249">
        <v>135.83000000000001</v>
      </c>
      <c r="E213" s="250">
        <f t="shared" si="26"/>
        <v>1.312747072424858E-2</v>
      </c>
      <c r="G213" s="248" t="s">
        <v>429</v>
      </c>
      <c r="H213" s="136">
        <v>53.4</v>
      </c>
      <c r="I213" s="250">
        <f t="shared" si="27"/>
        <v>6.9771827267584019E-3</v>
      </c>
      <c r="K213" s="248" t="s">
        <v>429</v>
      </c>
      <c r="L213" s="136">
        <v>30.94</v>
      </c>
      <c r="M213" s="250">
        <f t="shared" si="28"/>
        <v>2.1122112211221067E-2</v>
      </c>
      <c r="O213" s="248" t="s">
        <v>429</v>
      </c>
      <c r="P213" s="136">
        <v>29.91</v>
      </c>
      <c r="Q213" s="250">
        <f t="shared" si="29"/>
        <v>2.0122783083219575E-2</v>
      </c>
      <c r="R213" s="251"/>
      <c r="S213" s="248" t="s">
        <v>429</v>
      </c>
      <c r="T213" s="136">
        <v>44.53</v>
      </c>
      <c r="U213" s="250">
        <f t="shared" si="30"/>
        <v>5.2469865280075689E-2</v>
      </c>
      <c r="V213" s="251"/>
      <c r="W213" s="248" t="s">
        <v>429</v>
      </c>
      <c r="X213" s="136">
        <v>65.12</v>
      </c>
      <c r="Y213" s="250">
        <f t="shared" si="31"/>
        <v>9.455898310339439E-3</v>
      </c>
      <c r="Z213" s="251"/>
      <c r="AA213" s="248" t="s">
        <v>429</v>
      </c>
      <c r="AB213" s="136">
        <v>30.5</v>
      </c>
      <c r="AC213" s="250">
        <f t="shared" si="32"/>
        <v>-1.3097576948264411E-3</v>
      </c>
      <c r="AD213" s="251"/>
      <c r="AE213" s="248" t="s">
        <v>429</v>
      </c>
      <c r="AF213" s="136">
        <v>52.54</v>
      </c>
      <c r="AG213" s="250">
        <f t="shared" si="33"/>
        <v>1.4285714285714235E-2</v>
      </c>
      <c r="AH213" s="251"/>
      <c r="AI213" s="248" t="s">
        <v>429</v>
      </c>
      <c r="AJ213" s="136">
        <v>148.16</v>
      </c>
      <c r="AK213" s="250">
        <f t="shared" si="34"/>
        <v>8.9893761917732018E-3</v>
      </c>
      <c r="AL213" s="251"/>
      <c r="AM213" s="248" t="s">
        <v>429</v>
      </c>
      <c r="AN213" s="136">
        <v>46.57</v>
      </c>
      <c r="AO213" s="250">
        <f t="shared" si="35"/>
        <v>-5.5519965833866758E-3</v>
      </c>
      <c r="AP213" s="251"/>
      <c r="AQ213" s="248" t="s">
        <v>429</v>
      </c>
      <c r="AR213" s="136">
        <v>186.06</v>
      </c>
      <c r="AS213" s="250">
        <f t="shared" si="36"/>
        <v>2.6707868888643738E-2</v>
      </c>
      <c r="AT213" s="251"/>
      <c r="AU213" s="248" t="s">
        <v>429</v>
      </c>
      <c r="AV213" s="136">
        <v>53.32</v>
      </c>
      <c r="AW213" s="250">
        <f t="shared" si="37"/>
        <v>1.1956728031884634E-2</v>
      </c>
      <c r="AX213" s="251"/>
      <c r="AY213" s="248" t="s">
        <v>429</v>
      </c>
      <c r="AZ213" s="252">
        <v>3140.98</v>
      </c>
      <c r="BA213" s="250">
        <f t="shared" si="38"/>
        <v>9.8672471055754052E-3</v>
      </c>
    </row>
    <row r="214" spans="3:53" ht="14.25" customHeight="1" x14ac:dyDescent="0.35">
      <c r="C214" s="248" t="s">
        <v>430</v>
      </c>
      <c r="D214" s="249">
        <v>134.07</v>
      </c>
      <c r="E214" s="250">
        <f t="shared" ref="E214:E257" si="39">D214/D215-1</f>
        <v>1.9430535834390472E-3</v>
      </c>
      <c r="G214" s="248" t="s">
        <v>430</v>
      </c>
      <c r="H214" s="136">
        <v>53.03</v>
      </c>
      <c r="I214" s="250">
        <f t="shared" ref="I214:I258" si="40">H214/H215-1</f>
        <v>6.8350104423771096E-3</v>
      </c>
      <c r="K214" s="248" t="s">
        <v>430</v>
      </c>
      <c r="L214" s="136">
        <v>30.3</v>
      </c>
      <c r="M214" s="250">
        <f t="shared" ref="M214:M258" si="41">L214/L215-1</f>
        <v>9.327115256495766E-3</v>
      </c>
      <c r="O214" s="248" t="s">
        <v>430</v>
      </c>
      <c r="P214" s="136">
        <v>29.32</v>
      </c>
      <c r="Q214" s="250">
        <f t="shared" ref="Q214:Q258" si="42">P214/P215-1</f>
        <v>0</v>
      </c>
      <c r="R214" s="251"/>
      <c r="S214" s="248" t="s">
        <v>430</v>
      </c>
      <c r="T214" s="136">
        <v>42.31</v>
      </c>
      <c r="U214" s="250">
        <f t="shared" ref="U214:U258" si="43">T214/T215-1</f>
        <v>-1.651722510618181E-3</v>
      </c>
      <c r="V214" s="251"/>
      <c r="W214" s="248" t="s">
        <v>430</v>
      </c>
      <c r="X214" s="136">
        <v>64.510000000000005</v>
      </c>
      <c r="Y214" s="250">
        <f t="shared" ref="Y214:Y258" si="44">X214/X215-1</f>
        <v>-2.3198267862665212E-3</v>
      </c>
      <c r="Z214" s="251"/>
      <c r="AA214" s="248" t="s">
        <v>430</v>
      </c>
      <c r="AB214" s="136">
        <v>30.54</v>
      </c>
      <c r="AC214" s="250">
        <f t="shared" ref="AC214:AC258" si="45">AB214/AB215-1</f>
        <v>-2.4281150159744413E-2</v>
      </c>
      <c r="AD214" s="251"/>
      <c r="AE214" s="248" t="s">
        <v>430</v>
      </c>
      <c r="AF214" s="136">
        <v>51.8</v>
      </c>
      <c r="AG214" s="250">
        <f t="shared" ref="AG214:AG258" si="46">AF214/AF215-1</f>
        <v>-1.9310867095797102E-2</v>
      </c>
      <c r="AH214" s="251"/>
      <c r="AI214" s="248" t="s">
        <v>430</v>
      </c>
      <c r="AJ214" s="136">
        <v>146.84</v>
      </c>
      <c r="AK214" s="250">
        <f t="shared" ref="AK214:AK258" si="47">AJ214/AJ215-1</f>
        <v>7.4785591766723947E-3</v>
      </c>
      <c r="AL214" s="251"/>
      <c r="AM214" s="248" t="s">
        <v>430</v>
      </c>
      <c r="AN214" s="136">
        <v>46.83</v>
      </c>
      <c r="AO214" s="250">
        <f t="shared" ref="AO214:AO258" si="48">AN214/AN215-1</f>
        <v>-9.5177664974619436E-3</v>
      </c>
      <c r="AP214" s="251"/>
      <c r="AQ214" s="248" t="s">
        <v>430</v>
      </c>
      <c r="AR214" s="136">
        <v>181.22</v>
      </c>
      <c r="AS214" s="250">
        <f t="shared" ref="AS214:AS258" si="49">AR214/AR215-1</f>
        <v>8.7392151405509821E-3</v>
      </c>
      <c r="AT214" s="251"/>
      <c r="AU214" s="248" t="s">
        <v>430</v>
      </c>
      <c r="AV214" s="136">
        <v>52.69</v>
      </c>
      <c r="AW214" s="250">
        <f t="shared" ref="AW214:AW258" si="50">AV214/AV215-1</f>
        <v>2.4733637747336168E-3</v>
      </c>
      <c r="AX214" s="251"/>
      <c r="AY214" s="248" t="s">
        <v>430</v>
      </c>
      <c r="AZ214" s="252">
        <v>3110.29</v>
      </c>
      <c r="BA214" s="250">
        <f t="shared" ref="BA214:BA258" si="51">AZ214/AZ215-1</f>
        <v>-3.259134871140823E-3</v>
      </c>
    </row>
    <row r="215" spans="3:53" ht="14.25" customHeight="1" x14ac:dyDescent="0.35">
      <c r="C215" s="253">
        <v>43749</v>
      </c>
      <c r="D215" s="249">
        <v>133.81</v>
      </c>
      <c r="E215" s="250">
        <f t="shared" si="39"/>
        <v>5.1077893788027406E-3</v>
      </c>
      <c r="G215" s="253">
        <v>43749</v>
      </c>
      <c r="H215" s="136">
        <v>52.67</v>
      </c>
      <c r="I215" s="250">
        <f t="shared" si="40"/>
        <v>8.8105726872247381E-3</v>
      </c>
      <c r="K215" s="253">
        <v>43749</v>
      </c>
      <c r="L215" s="136">
        <v>30.02</v>
      </c>
      <c r="M215" s="250">
        <f t="shared" si="41"/>
        <v>2.808219178082183E-2</v>
      </c>
      <c r="O215" s="253">
        <v>43749</v>
      </c>
      <c r="P215" s="136">
        <v>29.32</v>
      </c>
      <c r="Q215" s="250">
        <f t="shared" si="42"/>
        <v>8.2530949105914519E-3</v>
      </c>
      <c r="R215" s="251"/>
      <c r="S215" s="253">
        <v>43749</v>
      </c>
      <c r="T215" s="136">
        <v>42.38</v>
      </c>
      <c r="U215" s="250">
        <f t="shared" si="43"/>
        <v>9.7688825351442965E-3</v>
      </c>
      <c r="V215" s="251"/>
      <c r="W215" s="253">
        <v>43749</v>
      </c>
      <c r="X215" s="136">
        <v>64.66</v>
      </c>
      <c r="Y215" s="250">
        <f t="shared" si="44"/>
        <v>1.0470385997812137E-2</v>
      </c>
      <c r="Z215" s="251"/>
      <c r="AA215" s="253">
        <v>43749</v>
      </c>
      <c r="AB215" s="136">
        <v>31.3</v>
      </c>
      <c r="AC215" s="250">
        <f t="shared" si="45"/>
        <v>-4.7184170471841758E-2</v>
      </c>
      <c r="AD215" s="251"/>
      <c r="AE215" s="253">
        <v>43749</v>
      </c>
      <c r="AF215" s="136">
        <v>52.82</v>
      </c>
      <c r="AG215" s="250">
        <f t="shared" si="46"/>
        <v>2.1070945292866794E-2</v>
      </c>
      <c r="AH215" s="251"/>
      <c r="AI215" s="253">
        <v>43749</v>
      </c>
      <c r="AJ215" s="136">
        <v>145.75</v>
      </c>
      <c r="AK215" s="250">
        <f t="shared" si="47"/>
        <v>3.3907923671703255E-2</v>
      </c>
      <c r="AL215" s="251"/>
      <c r="AM215" s="253">
        <v>43749</v>
      </c>
      <c r="AN215" s="136">
        <v>47.28</v>
      </c>
      <c r="AO215" s="250">
        <f t="shared" si="48"/>
        <v>2.2270270270270398E-2</v>
      </c>
      <c r="AP215" s="251"/>
      <c r="AQ215" s="253">
        <v>43749</v>
      </c>
      <c r="AR215" s="136">
        <v>179.65</v>
      </c>
      <c r="AS215" s="250">
        <f t="shared" si="49"/>
        <v>-4.2173171251866037E-2</v>
      </c>
      <c r="AT215" s="251"/>
      <c r="AU215" s="253">
        <v>43749</v>
      </c>
      <c r="AV215" s="136">
        <v>52.56</v>
      </c>
      <c r="AW215" s="250">
        <f t="shared" si="50"/>
        <v>1.1428571428571122E-3</v>
      </c>
      <c r="AX215" s="251"/>
      <c r="AY215" s="253">
        <v>43749</v>
      </c>
      <c r="AZ215" s="252">
        <v>3120.46</v>
      </c>
      <c r="BA215" s="250">
        <f t="shared" si="51"/>
        <v>8.8520180532025705E-3</v>
      </c>
    </row>
    <row r="216" spans="3:53" ht="14.25" customHeight="1" x14ac:dyDescent="0.35">
      <c r="C216" s="253">
        <v>43535</v>
      </c>
      <c r="D216" s="249">
        <v>133.13</v>
      </c>
      <c r="E216" s="250">
        <f t="shared" si="39"/>
        <v>-2.7751405827795339E-2</v>
      </c>
      <c r="G216" s="253">
        <v>43535</v>
      </c>
      <c r="H216" s="136">
        <v>52.21</v>
      </c>
      <c r="I216" s="250">
        <f t="shared" si="40"/>
        <v>-3.13543599257885E-2</v>
      </c>
      <c r="K216" s="253">
        <v>43535</v>
      </c>
      <c r="L216" s="136">
        <v>29.2</v>
      </c>
      <c r="M216" s="250">
        <f t="shared" si="41"/>
        <v>3.5093938319744611E-2</v>
      </c>
      <c r="O216" s="253">
        <v>43535</v>
      </c>
      <c r="P216" s="136">
        <v>29.08</v>
      </c>
      <c r="Q216" s="250">
        <f t="shared" si="42"/>
        <v>3.4139402560455112E-2</v>
      </c>
      <c r="R216" s="251"/>
      <c r="S216" s="253">
        <v>43535</v>
      </c>
      <c r="T216" s="136">
        <v>41.97</v>
      </c>
      <c r="U216" s="250">
        <f t="shared" si="43"/>
        <v>1.7207949587978666E-2</v>
      </c>
      <c r="V216" s="251"/>
      <c r="W216" s="253">
        <v>43535</v>
      </c>
      <c r="X216" s="136">
        <v>63.99</v>
      </c>
      <c r="Y216" s="250">
        <f t="shared" si="44"/>
        <v>4.8680904522613311E-3</v>
      </c>
      <c r="Z216" s="251"/>
      <c r="AA216" s="253">
        <v>43535</v>
      </c>
      <c r="AB216" s="136">
        <v>32.85</v>
      </c>
      <c r="AC216" s="250">
        <f t="shared" si="45"/>
        <v>7.3597056117755688E-3</v>
      </c>
      <c r="AD216" s="251"/>
      <c r="AE216" s="253">
        <v>43535</v>
      </c>
      <c r="AF216" s="136">
        <v>51.73</v>
      </c>
      <c r="AG216" s="250">
        <f t="shared" si="46"/>
        <v>-5.7659042859888876E-3</v>
      </c>
      <c r="AH216" s="251"/>
      <c r="AI216" s="253">
        <v>43535</v>
      </c>
      <c r="AJ216" s="136">
        <v>140.97</v>
      </c>
      <c r="AK216" s="250">
        <f t="shared" si="47"/>
        <v>-1.46781295869155E-2</v>
      </c>
      <c r="AL216" s="251"/>
      <c r="AM216" s="253">
        <v>43535</v>
      </c>
      <c r="AN216" s="136">
        <v>46.25</v>
      </c>
      <c r="AO216" s="250">
        <f t="shared" si="48"/>
        <v>-6.2311989686291147E-3</v>
      </c>
      <c r="AP216" s="251"/>
      <c r="AQ216" s="253">
        <v>43535</v>
      </c>
      <c r="AR216" s="136">
        <v>187.56</v>
      </c>
      <c r="AS216" s="250">
        <f t="shared" si="49"/>
        <v>-1.8010471204188416E-2</v>
      </c>
      <c r="AT216" s="251"/>
      <c r="AU216" s="253">
        <v>43535</v>
      </c>
      <c r="AV216" s="136">
        <v>52.5</v>
      </c>
      <c r="AW216" s="250">
        <f t="shared" si="50"/>
        <v>2.5791324736225141E-2</v>
      </c>
      <c r="AX216" s="251"/>
      <c r="AY216" s="253">
        <v>43535</v>
      </c>
      <c r="AZ216" s="252">
        <v>3093.08</v>
      </c>
      <c r="BA216" s="250">
        <f t="shared" si="51"/>
        <v>8.533018575699991E-3</v>
      </c>
    </row>
    <row r="217" spans="3:53" ht="14.25" customHeight="1" x14ac:dyDescent="0.35">
      <c r="C217" s="248" t="s">
        <v>431</v>
      </c>
      <c r="D217" s="249">
        <v>136.93</v>
      </c>
      <c r="E217" s="250">
        <f t="shared" si="39"/>
        <v>2.1223653395785469E-3</v>
      </c>
      <c r="G217" s="248" t="s">
        <v>431</v>
      </c>
      <c r="H217" s="136">
        <v>53.9</v>
      </c>
      <c r="I217" s="250">
        <f t="shared" si="40"/>
        <v>2.7906976744185297E-3</v>
      </c>
      <c r="K217" s="248" t="s">
        <v>431</v>
      </c>
      <c r="L217" s="136">
        <v>28.21</v>
      </c>
      <c r="M217" s="250">
        <f t="shared" si="41"/>
        <v>2.5445292620865034E-2</v>
      </c>
      <c r="O217" s="248" t="s">
        <v>431</v>
      </c>
      <c r="P217" s="136">
        <v>28.12</v>
      </c>
      <c r="Q217" s="250">
        <f t="shared" si="42"/>
        <v>-2.1291696238466828E-3</v>
      </c>
      <c r="R217" s="251"/>
      <c r="S217" s="248" t="s">
        <v>431</v>
      </c>
      <c r="T217" s="136">
        <v>41.26</v>
      </c>
      <c r="U217" s="250">
        <f t="shared" si="43"/>
        <v>1.7007641114123784E-2</v>
      </c>
      <c r="V217" s="251"/>
      <c r="W217" s="248" t="s">
        <v>431</v>
      </c>
      <c r="X217" s="136">
        <v>63.68</v>
      </c>
      <c r="Y217" s="250">
        <f t="shared" si="44"/>
        <v>4.5820331745771048E-2</v>
      </c>
      <c r="Z217" s="251"/>
      <c r="AA217" s="248" t="s">
        <v>431</v>
      </c>
      <c r="AB217" s="136">
        <v>32.61</v>
      </c>
      <c r="AC217" s="250">
        <f t="shared" si="45"/>
        <v>0.14904862579281186</v>
      </c>
      <c r="AD217" s="251"/>
      <c r="AE217" s="248" t="s">
        <v>431</v>
      </c>
      <c r="AF217" s="136">
        <v>52.03</v>
      </c>
      <c r="AG217" s="250">
        <f t="shared" si="46"/>
        <v>-1.4023119196513223E-2</v>
      </c>
      <c r="AH217" s="251"/>
      <c r="AI217" s="248" t="s">
        <v>431</v>
      </c>
      <c r="AJ217" s="136">
        <v>143.07</v>
      </c>
      <c r="AK217" s="250">
        <f t="shared" si="47"/>
        <v>-1.6746912288047033E-3</v>
      </c>
      <c r="AL217" s="251"/>
      <c r="AM217" s="248" t="s">
        <v>431</v>
      </c>
      <c r="AN217" s="136">
        <v>46.54</v>
      </c>
      <c r="AO217" s="250">
        <f t="shared" si="48"/>
        <v>1.7219113215669601E-3</v>
      </c>
      <c r="AP217" s="251"/>
      <c r="AQ217" s="248" t="s">
        <v>431</v>
      </c>
      <c r="AR217" s="136">
        <v>191</v>
      </c>
      <c r="AS217" s="250">
        <f t="shared" si="49"/>
        <v>-2.4714052287581723E-2</v>
      </c>
      <c r="AT217" s="251"/>
      <c r="AU217" s="248" t="s">
        <v>431</v>
      </c>
      <c r="AV217" s="136">
        <v>51.18</v>
      </c>
      <c r="AW217" s="250">
        <f t="shared" si="50"/>
        <v>1.3264700059394174E-2</v>
      </c>
      <c r="AX217" s="251"/>
      <c r="AY217" s="248" t="s">
        <v>431</v>
      </c>
      <c r="AZ217" s="252">
        <v>3066.91</v>
      </c>
      <c r="BA217" s="250">
        <f t="shared" si="51"/>
        <v>1.4676349440042147E-2</v>
      </c>
    </row>
    <row r="218" spans="3:53" ht="14.25" customHeight="1" x14ac:dyDescent="0.35">
      <c r="C218" s="248" t="s">
        <v>432</v>
      </c>
      <c r="D218" s="249">
        <v>136.63999999999999</v>
      </c>
      <c r="E218" s="250">
        <f t="shared" si="39"/>
        <v>2.8623853211007244E-3</v>
      </c>
      <c r="G218" s="248" t="s">
        <v>432</v>
      </c>
      <c r="H218" s="136">
        <v>53.75</v>
      </c>
      <c r="I218" s="250">
        <f t="shared" si="40"/>
        <v>-1.8802482657904407E-2</v>
      </c>
      <c r="K218" s="248" t="s">
        <v>432</v>
      </c>
      <c r="L218" s="136">
        <v>27.51</v>
      </c>
      <c r="M218" s="250">
        <f t="shared" si="41"/>
        <v>-2.8996013048204761E-3</v>
      </c>
      <c r="O218" s="248" t="s">
        <v>432</v>
      </c>
      <c r="P218" s="136">
        <v>28.18</v>
      </c>
      <c r="Q218" s="250">
        <f t="shared" si="42"/>
        <v>5.3514092044237849E-3</v>
      </c>
      <c r="R218" s="251"/>
      <c r="S218" s="248" t="s">
        <v>432</v>
      </c>
      <c r="T218" s="136">
        <v>40.57</v>
      </c>
      <c r="U218" s="250">
        <f t="shared" si="43"/>
        <v>-5.8809115412890023E-3</v>
      </c>
      <c r="V218" s="251"/>
      <c r="W218" s="248" t="s">
        <v>432</v>
      </c>
      <c r="X218" s="136">
        <v>60.89</v>
      </c>
      <c r="Y218" s="250">
        <f t="shared" si="44"/>
        <v>-1.6951888924765846E-2</v>
      </c>
      <c r="Z218" s="251"/>
      <c r="AA218" s="248" t="s">
        <v>432</v>
      </c>
      <c r="AB218" s="136">
        <v>28.38</v>
      </c>
      <c r="AC218" s="250">
        <f t="shared" si="45"/>
        <v>2.7888446215139417E-2</v>
      </c>
      <c r="AD218" s="251"/>
      <c r="AE218" s="248" t="s">
        <v>432</v>
      </c>
      <c r="AF218" s="136">
        <v>52.77</v>
      </c>
      <c r="AG218" s="250">
        <f t="shared" si="46"/>
        <v>-3.1387665198237769E-2</v>
      </c>
      <c r="AH218" s="251"/>
      <c r="AI218" s="248" t="s">
        <v>432</v>
      </c>
      <c r="AJ218" s="136">
        <v>143.31</v>
      </c>
      <c r="AK218" s="250">
        <f t="shared" si="47"/>
        <v>-6.3761677663813909E-2</v>
      </c>
      <c r="AL218" s="251"/>
      <c r="AM218" s="248" t="s">
        <v>432</v>
      </c>
      <c r="AN218" s="136">
        <v>46.46</v>
      </c>
      <c r="AO218" s="250">
        <f t="shared" si="48"/>
        <v>-2.3128679562657739E-2</v>
      </c>
      <c r="AP218" s="251"/>
      <c r="AQ218" s="248" t="s">
        <v>432</v>
      </c>
      <c r="AR218" s="136">
        <v>195.84</v>
      </c>
      <c r="AS218" s="250">
        <f t="shared" si="49"/>
        <v>-5.9892396710994333E-3</v>
      </c>
      <c r="AT218" s="251"/>
      <c r="AU218" s="248" t="s">
        <v>432</v>
      </c>
      <c r="AV218" s="136">
        <v>50.51</v>
      </c>
      <c r="AW218" s="250">
        <f t="shared" si="50"/>
        <v>-3.8820171265461445E-2</v>
      </c>
      <c r="AX218" s="251"/>
      <c r="AY218" s="248" t="s">
        <v>432</v>
      </c>
      <c r="AZ218" s="252">
        <v>3022.55</v>
      </c>
      <c r="BA218" s="250">
        <f t="shared" si="51"/>
        <v>1.2172660906838217E-2</v>
      </c>
    </row>
    <row r="219" spans="3:53" ht="14.25" customHeight="1" x14ac:dyDescent="0.35">
      <c r="C219" s="248" t="s">
        <v>433</v>
      </c>
      <c r="D219" s="249">
        <v>136.25</v>
      </c>
      <c r="E219" s="250">
        <f t="shared" si="39"/>
        <v>-1.0098808485905164E-2</v>
      </c>
      <c r="G219" s="248" t="s">
        <v>433</v>
      </c>
      <c r="H219" s="136">
        <v>54.78</v>
      </c>
      <c r="I219" s="250">
        <f t="shared" si="40"/>
        <v>2.7767354596623051E-2</v>
      </c>
      <c r="K219" s="248" t="s">
        <v>433</v>
      </c>
      <c r="L219" s="136">
        <v>27.59</v>
      </c>
      <c r="M219" s="250">
        <f t="shared" si="41"/>
        <v>-7.9108234448039827E-3</v>
      </c>
      <c r="O219" s="248" t="s">
        <v>433</v>
      </c>
      <c r="P219" s="136">
        <v>28.03</v>
      </c>
      <c r="Q219" s="250">
        <f t="shared" si="42"/>
        <v>-4.2628774422734939E-3</v>
      </c>
      <c r="R219" s="251"/>
      <c r="S219" s="248" t="s">
        <v>433</v>
      </c>
      <c r="T219" s="136">
        <v>40.81</v>
      </c>
      <c r="U219" s="250">
        <f t="shared" si="43"/>
        <v>-8.5034013605440606E-3</v>
      </c>
      <c r="V219" s="251"/>
      <c r="W219" s="248" t="s">
        <v>433</v>
      </c>
      <c r="X219" s="136">
        <v>61.94</v>
      </c>
      <c r="Y219" s="250">
        <f t="shared" si="44"/>
        <v>-3.0581039755352979E-3</v>
      </c>
      <c r="Z219" s="251"/>
      <c r="AA219" s="248" t="s">
        <v>433</v>
      </c>
      <c r="AB219" s="136">
        <v>27.61</v>
      </c>
      <c r="AC219" s="250">
        <f t="shared" si="45"/>
        <v>1.9571639586410727E-2</v>
      </c>
      <c r="AD219" s="251"/>
      <c r="AE219" s="248" t="s">
        <v>433</v>
      </c>
      <c r="AF219" s="136">
        <v>54.48</v>
      </c>
      <c r="AG219" s="250">
        <f t="shared" si="46"/>
        <v>-6.2021160160525834E-3</v>
      </c>
      <c r="AH219" s="251"/>
      <c r="AI219" s="248" t="s">
        <v>433</v>
      </c>
      <c r="AJ219" s="136">
        <v>153.07</v>
      </c>
      <c r="AK219" s="250">
        <f t="shared" si="47"/>
        <v>-1.4422767368488909E-2</v>
      </c>
      <c r="AL219" s="251"/>
      <c r="AM219" s="248" t="s">
        <v>433</v>
      </c>
      <c r="AN219" s="136">
        <v>47.56</v>
      </c>
      <c r="AO219" s="250">
        <f t="shared" si="48"/>
        <v>1.4721570300832099E-2</v>
      </c>
      <c r="AP219" s="251"/>
      <c r="AQ219" s="248" t="s">
        <v>433</v>
      </c>
      <c r="AR219" s="136">
        <v>197.02</v>
      </c>
      <c r="AS219" s="250">
        <f t="shared" si="49"/>
        <v>2.0406049305987217E-2</v>
      </c>
      <c r="AT219" s="251"/>
      <c r="AU219" s="248" t="s">
        <v>433</v>
      </c>
      <c r="AV219" s="136">
        <v>52.55</v>
      </c>
      <c r="AW219" s="250">
        <f t="shared" si="50"/>
        <v>-3.3118675252989949E-2</v>
      </c>
      <c r="AX219" s="251"/>
      <c r="AY219" s="248" t="s">
        <v>433</v>
      </c>
      <c r="AZ219" s="252">
        <v>2986.2</v>
      </c>
      <c r="BA219" s="250">
        <f t="shared" si="51"/>
        <v>5.3631488046541609E-3</v>
      </c>
    </row>
    <row r="220" spans="3:53" ht="14.25" customHeight="1" x14ac:dyDescent="0.35">
      <c r="C220" s="253">
        <v>43626</v>
      </c>
      <c r="D220" s="249">
        <v>137.63999999999999</v>
      </c>
      <c r="E220" s="250">
        <f t="shared" si="39"/>
        <v>-1.8819503849444086E-2</v>
      </c>
      <c r="G220" s="253">
        <v>43626</v>
      </c>
      <c r="H220" s="136">
        <v>53.3</v>
      </c>
      <c r="I220" s="250">
        <f t="shared" si="40"/>
        <v>-2.2735606894022764E-2</v>
      </c>
      <c r="K220" s="253">
        <v>43626</v>
      </c>
      <c r="L220" s="136">
        <v>27.81</v>
      </c>
      <c r="M220" s="250">
        <f t="shared" si="41"/>
        <v>7.243752263672576E-3</v>
      </c>
      <c r="O220" s="253">
        <v>43626</v>
      </c>
      <c r="P220" s="136">
        <v>28.15</v>
      </c>
      <c r="Q220" s="250">
        <f t="shared" si="42"/>
        <v>-4.9487451396252879E-3</v>
      </c>
      <c r="R220" s="251"/>
      <c r="S220" s="253">
        <v>43626</v>
      </c>
      <c r="T220" s="136">
        <v>41.16</v>
      </c>
      <c r="U220" s="250">
        <f t="shared" si="43"/>
        <v>-5.8984910836762827E-2</v>
      </c>
      <c r="V220" s="251"/>
      <c r="W220" s="253">
        <v>43626</v>
      </c>
      <c r="X220" s="136">
        <v>62.13</v>
      </c>
      <c r="Y220" s="250">
        <f t="shared" si="44"/>
        <v>-1.1141174598121806E-2</v>
      </c>
      <c r="Z220" s="251"/>
      <c r="AA220" s="253">
        <v>43626</v>
      </c>
      <c r="AB220" s="136">
        <v>27.08</v>
      </c>
      <c r="AC220" s="250">
        <f t="shared" si="45"/>
        <v>3.7064492216456468E-3</v>
      </c>
      <c r="AD220" s="251"/>
      <c r="AE220" s="253">
        <v>43626</v>
      </c>
      <c r="AF220" s="136">
        <v>54.82</v>
      </c>
      <c r="AG220" s="250">
        <f t="shared" si="46"/>
        <v>-2.0721686316541588E-2</v>
      </c>
      <c r="AH220" s="251"/>
      <c r="AI220" s="253">
        <v>43626</v>
      </c>
      <c r="AJ220" s="136">
        <v>155.31</v>
      </c>
      <c r="AK220" s="250">
        <f t="shared" si="47"/>
        <v>-1.3967367151291876E-2</v>
      </c>
      <c r="AL220" s="251"/>
      <c r="AM220" s="253">
        <v>43626</v>
      </c>
      <c r="AN220" s="136">
        <v>46.87</v>
      </c>
      <c r="AO220" s="250">
        <f t="shared" si="48"/>
        <v>-9.928179129700121E-3</v>
      </c>
      <c r="AP220" s="251"/>
      <c r="AQ220" s="253">
        <v>43626</v>
      </c>
      <c r="AR220" s="136">
        <v>193.08</v>
      </c>
      <c r="AS220" s="250">
        <f t="shared" si="49"/>
        <v>-3.4066274388355744E-3</v>
      </c>
      <c r="AT220" s="251"/>
      <c r="AU220" s="253">
        <v>43626</v>
      </c>
      <c r="AV220" s="136">
        <v>54.35</v>
      </c>
      <c r="AW220" s="250">
        <f t="shared" si="50"/>
        <v>9.2081031307555961E-4</v>
      </c>
      <c r="AX220" s="251"/>
      <c r="AY220" s="253">
        <v>43626</v>
      </c>
      <c r="AZ220" s="252">
        <v>2970.27</v>
      </c>
      <c r="BA220" s="250">
        <f t="shared" si="51"/>
        <v>6.1856159023849777E-3</v>
      </c>
    </row>
    <row r="221" spans="3:53" ht="14.25" customHeight="1" x14ac:dyDescent="0.35">
      <c r="C221" s="248" t="s">
        <v>434</v>
      </c>
      <c r="D221" s="249">
        <v>140.28</v>
      </c>
      <c r="E221" s="250">
        <f t="shared" si="39"/>
        <v>3.4513274336283262E-2</v>
      </c>
      <c r="G221" s="248" t="s">
        <v>434</v>
      </c>
      <c r="H221" s="136">
        <v>54.54</v>
      </c>
      <c r="I221" s="250">
        <f t="shared" si="40"/>
        <v>4.2349475234761957E-3</v>
      </c>
      <c r="K221" s="248" t="s">
        <v>434</v>
      </c>
      <c r="L221" s="136">
        <v>27.61</v>
      </c>
      <c r="M221" s="250">
        <f t="shared" si="41"/>
        <v>2.2592592592592498E-2</v>
      </c>
      <c r="O221" s="248" t="s">
        <v>434</v>
      </c>
      <c r="P221" s="136">
        <v>28.29</v>
      </c>
      <c r="Q221" s="250">
        <f t="shared" si="42"/>
        <v>-2.144586648218616E-2</v>
      </c>
      <c r="R221" s="251"/>
      <c r="S221" s="248" t="s">
        <v>434</v>
      </c>
      <c r="T221" s="136">
        <v>43.74</v>
      </c>
      <c r="U221" s="250">
        <f t="shared" si="43"/>
        <v>4.5934772622875375E-3</v>
      </c>
      <c r="V221" s="251"/>
      <c r="W221" s="248" t="s">
        <v>434</v>
      </c>
      <c r="X221" s="136">
        <v>62.83</v>
      </c>
      <c r="Y221" s="250">
        <f t="shared" si="44"/>
        <v>-1.9812792511700428E-2</v>
      </c>
      <c r="Z221" s="251"/>
      <c r="AA221" s="248" t="s">
        <v>434</v>
      </c>
      <c r="AB221" s="136">
        <v>26.98</v>
      </c>
      <c r="AC221" s="250">
        <f t="shared" si="45"/>
        <v>-3.0890804597701105E-2</v>
      </c>
      <c r="AD221" s="251"/>
      <c r="AE221" s="248" t="s">
        <v>434</v>
      </c>
      <c r="AF221" s="136">
        <v>55.98</v>
      </c>
      <c r="AG221" s="250">
        <f t="shared" si="46"/>
        <v>1.0651742191731373E-2</v>
      </c>
      <c r="AH221" s="251"/>
      <c r="AI221" s="248" t="s">
        <v>434</v>
      </c>
      <c r="AJ221" s="136">
        <v>157.51</v>
      </c>
      <c r="AK221" s="250">
        <f t="shared" si="47"/>
        <v>2.4255429834828979E-2</v>
      </c>
      <c r="AL221" s="251"/>
      <c r="AM221" s="248" t="s">
        <v>434</v>
      </c>
      <c r="AN221" s="136">
        <v>47.34</v>
      </c>
      <c r="AO221" s="250">
        <f t="shared" si="48"/>
        <v>1.0027736291871259E-2</v>
      </c>
      <c r="AP221" s="251"/>
      <c r="AQ221" s="248" t="s">
        <v>434</v>
      </c>
      <c r="AR221" s="136">
        <v>193.74</v>
      </c>
      <c r="AS221" s="250">
        <f t="shared" si="49"/>
        <v>-5.9514563106796037E-2</v>
      </c>
      <c r="AT221" s="251"/>
      <c r="AU221" s="248" t="s">
        <v>434</v>
      </c>
      <c r="AV221" s="136">
        <v>54.3</v>
      </c>
      <c r="AW221" s="250">
        <f t="shared" si="50"/>
        <v>-1.0388190267905939E-2</v>
      </c>
      <c r="AX221" s="251"/>
      <c r="AY221" s="248" t="s">
        <v>434</v>
      </c>
      <c r="AZ221" s="252">
        <v>2952.01</v>
      </c>
      <c r="BA221" s="250">
        <f t="shared" si="51"/>
        <v>-3.3020572018946925E-3</v>
      </c>
    </row>
    <row r="222" spans="3:53" ht="14.25" customHeight="1" x14ac:dyDescent="0.35">
      <c r="C222" s="248" t="s">
        <v>435</v>
      </c>
      <c r="D222" s="249">
        <v>135.6</v>
      </c>
      <c r="E222" s="250">
        <f t="shared" si="39"/>
        <v>6.6067849454383154E-3</v>
      </c>
      <c r="G222" s="248" t="s">
        <v>435</v>
      </c>
      <c r="H222" s="136">
        <v>54.31</v>
      </c>
      <c r="I222" s="250">
        <f t="shared" si="40"/>
        <v>7.4197736969023875E-3</v>
      </c>
      <c r="K222" s="248" t="s">
        <v>435</v>
      </c>
      <c r="L222" s="136">
        <v>27</v>
      </c>
      <c r="M222" s="250">
        <f t="shared" si="41"/>
        <v>-1.171303074670571E-2</v>
      </c>
      <c r="O222" s="248" t="s">
        <v>435</v>
      </c>
      <c r="P222" s="136">
        <v>28.91</v>
      </c>
      <c r="Q222" s="250">
        <f t="shared" si="42"/>
        <v>-9.2529129540781518E-3</v>
      </c>
      <c r="R222" s="251"/>
      <c r="S222" s="248" t="s">
        <v>435</v>
      </c>
      <c r="T222" s="136">
        <v>43.54</v>
      </c>
      <c r="U222" s="250">
        <f t="shared" si="43"/>
        <v>1.3972985561248263E-2</v>
      </c>
      <c r="V222" s="251"/>
      <c r="W222" s="248" t="s">
        <v>435</v>
      </c>
      <c r="X222" s="136">
        <v>64.099999999999994</v>
      </c>
      <c r="Y222" s="250">
        <f t="shared" si="44"/>
        <v>5.8057429781892544E-3</v>
      </c>
      <c r="Z222" s="251"/>
      <c r="AA222" s="248" t="s">
        <v>435</v>
      </c>
      <c r="AB222" s="136">
        <v>27.84</v>
      </c>
      <c r="AC222" s="250">
        <f t="shared" si="45"/>
        <v>-1.0660980810234588E-2</v>
      </c>
      <c r="AD222" s="251"/>
      <c r="AE222" s="248" t="s">
        <v>435</v>
      </c>
      <c r="AF222" s="136">
        <v>55.39</v>
      </c>
      <c r="AG222" s="250">
        <f t="shared" si="46"/>
        <v>1.3540713632204993E-2</v>
      </c>
      <c r="AH222" s="251"/>
      <c r="AI222" s="248" t="s">
        <v>435</v>
      </c>
      <c r="AJ222" s="136">
        <v>153.78</v>
      </c>
      <c r="AK222" s="250">
        <f t="shared" si="47"/>
        <v>-1.0393659867480309E-3</v>
      </c>
      <c r="AL222" s="251"/>
      <c r="AM222" s="248" t="s">
        <v>435</v>
      </c>
      <c r="AN222" s="136">
        <v>46.87</v>
      </c>
      <c r="AO222" s="250">
        <f t="shared" si="48"/>
        <v>2.3524379811805662E-3</v>
      </c>
      <c r="AP222" s="251"/>
      <c r="AQ222" s="248" t="s">
        <v>435</v>
      </c>
      <c r="AR222" s="136">
        <v>206</v>
      </c>
      <c r="AS222" s="250">
        <f t="shared" si="49"/>
        <v>4.3881033642125811E-3</v>
      </c>
      <c r="AT222" s="251"/>
      <c r="AU222" s="248" t="s">
        <v>435</v>
      </c>
      <c r="AV222" s="136">
        <v>54.87</v>
      </c>
      <c r="AW222" s="250">
        <f t="shared" si="50"/>
        <v>9.9392600773053896E-3</v>
      </c>
      <c r="AX222" s="251"/>
      <c r="AY222" s="248" t="s">
        <v>435</v>
      </c>
      <c r="AZ222" s="252">
        <v>2961.79</v>
      </c>
      <c r="BA222" s="250">
        <f t="shared" si="51"/>
        <v>-1.0120084088941828E-2</v>
      </c>
    </row>
    <row r="223" spans="3:53" ht="14.25" customHeight="1" x14ac:dyDescent="0.35">
      <c r="C223" s="248" t="s">
        <v>436</v>
      </c>
      <c r="D223" s="249">
        <v>134.71</v>
      </c>
      <c r="E223" s="250">
        <f t="shared" si="39"/>
        <v>-1.2679566109645157E-2</v>
      </c>
      <c r="G223" s="248" t="s">
        <v>436</v>
      </c>
      <c r="H223" s="136">
        <v>53.91</v>
      </c>
      <c r="I223" s="250">
        <f t="shared" si="40"/>
        <v>-6.4504238849981688E-3</v>
      </c>
      <c r="K223" s="248" t="s">
        <v>436</v>
      </c>
      <c r="L223" s="136">
        <v>27.32</v>
      </c>
      <c r="M223" s="250">
        <f t="shared" si="41"/>
        <v>-8.3484573502722315E-3</v>
      </c>
      <c r="O223" s="248" t="s">
        <v>436</v>
      </c>
      <c r="P223" s="136">
        <v>29.18</v>
      </c>
      <c r="Q223" s="250">
        <f t="shared" si="42"/>
        <v>-8.4947332653754204E-3</v>
      </c>
      <c r="R223" s="251"/>
      <c r="S223" s="248" t="s">
        <v>436</v>
      </c>
      <c r="T223" s="136">
        <v>42.94</v>
      </c>
      <c r="U223" s="250">
        <f t="shared" si="43"/>
        <v>-9.3066542577946443E-4</v>
      </c>
      <c r="V223" s="251"/>
      <c r="W223" s="248" t="s">
        <v>436</v>
      </c>
      <c r="X223" s="136">
        <v>63.73</v>
      </c>
      <c r="Y223" s="250">
        <f t="shared" si="44"/>
        <v>5.9984214680346426E-3</v>
      </c>
      <c r="Z223" s="251"/>
      <c r="AA223" s="248" t="s">
        <v>436</v>
      </c>
      <c r="AB223" s="136">
        <v>28.14</v>
      </c>
      <c r="AC223" s="250">
        <f t="shared" si="45"/>
        <v>-3.7948717948717903E-2</v>
      </c>
      <c r="AD223" s="251"/>
      <c r="AE223" s="248" t="s">
        <v>436</v>
      </c>
      <c r="AF223" s="136">
        <v>54.65</v>
      </c>
      <c r="AG223" s="250">
        <f t="shared" si="46"/>
        <v>1.0539940828402372E-2</v>
      </c>
      <c r="AH223" s="251"/>
      <c r="AI223" s="248" t="s">
        <v>436</v>
      </c>
      <c r="AJ223" s="136">
        <v>153.94</v>
      </c>
      <c r="AK223" s="250">
        <f t="shared" si="47"/>
        <v>3.6144578313253017E-2</v>
      </c>
      <c r="AL223" s="251"/>
      <c r="AM223" s="248" t="s">
        <v>436</v>
      </c>
      <c r="AN223" s="136">
        <v>46.76</v>
      </c>
      <c r="AO223" s="250">
        <f t="shared" si="48"/>
        <v>1.0371650821088929E-2</v>
      </c>
      <c r="AP223" s="251"/>
      <c r="AQ223" s="248" t="s">
        <v>436</v>
      </c>
      <c r="AR223" s="136">
        <v>205.1</v>
      </c>
      <c r="AS223" s="250">
        <f t="shared" si="49"/>
        <v>5.047287695398639E-3</v>
      </c>
      <c r="AT223" s="251"/>
      <c r="AU223" s="248" t="s">
        <v>436</v>
      </c>
      <c r="AV223" s="136">
        <v>54.33</v>
      </c>
      <c r="AW223" s="250">
        <f t="shared" si="50"/>
        <v>6.6703724291272692E-3</v>
      </c>
      <c r="AX223" s="251"/>
      <c r="AY223" s="248" t="s">
        <v>436</v>
      </c>
      <c r="AZ223" s="252">
        <v>2992.07</v>
      </c>
      <c r="BA223" s="250">
        <f t="shared" si="51"/>
        <v>-5.0941181556098947E-3</v>
      </c>
    </row>
    <row r="224" spans="3:53" ht="14.25" customHeight="1" x14ac:dyDescent="0.35">
      <c r="C224" s="253">
        <v>43686</v>
      </c>
      <c r="D224" s="249">
        <v>136.44</v>
      </c>
      <c r="E224" s="250">
        <f t="shared" si="39"/>
        <v>-6.7700371260100978E-3</v>
      </c>
      <c r="G224" s="253">
        <v>43686</v>
      </c>
      <c r="H224" s="136">
        <v>54.26</v>
      </c>
      <c r="I224" s="250">
        <f t="shared" si="40"/>
        <v>-1.7562918703603048E-2</v>
      </c>
      <c r="K224" s="253">
        <v>43686</v>
      </c>
      <c r="L224" s="136">
        <v>27.55</v>
      </c>
      <c r="M224" s="250">
        <f t="shared" si="41"/>
        <v>2.5688756515264366E-2</v>
      </c>
      <c r="O224" s="253">
        <v>43686</v>
      </c>
      <c r="P224" s="136">
        <v>29.43</v>
      </c>
      <c r="Q224" s="250">
        <f t="shared" si="42"/>
        <v>2.9380902413431276E-2</v>
      </c>
      <c r="R224" s="251"/>
      <c r="S224" s="253">
        <v>43686</v>
      </c>
      <c r="T224" s="136">
        <v>42.98</v>
      </c>
      <c r="U224" s="250">
        <f t="shared" si="43"/>
        <v>8.9201877934270701E-3</v>
      </c>
      <c r="V224" s="251"/>
      <c r="W224" s="253">
        <v>43686</v>
      </c>
      <c r="X224" s="136">
        <v>63.35</v>
      </c>
      <c r="Y224" s="250">
        <f t="shared" si="44"/>
        <v>-1.3547181563375865E-2</v>
      </c>
      <c r="Z224" s="251"/>
      <c r="AA224" s="253">
        <v>43686</v>
      </c>
      <c r="AB224" s="136">
        <v>29.25</v>
      </c>
      <c r="AC224" s="250">
        <f t="shared" si="45"/>
        <v>7.2214076246334358E-2</v>
      </c>
      <c r="AD224" s="251"/>
      <c r="AE224" s="253">
        <v>43686</v>
      </c>
      <c r="AF224" s="136">
        <v>54.08</v>
      </c>
      <c r="AG224" s="250">
        <f t="shared" si="46"/>
        <v>-4.5029136500088329E-2</v>
      </c>
      <c r="AH224" s="251"/>
      <c r="AI224" s="253">
        <v>43686</v>
      </c>
      <c r="AJ224" s="136">
        <v>148.57</v>
      </c>
      <c r="AK224" s="250">
        <f t="shared" si="47"/>
        <v>-6.5479934582966415E-2</v>
      </c>
      <c r="AL224" s="251"/>
      <c r="AM224" s="253">
        <v>43686</v>
      </c>
      <c r="AN224" s="136">
        <v>46.28</v>
      </c>
      <c r="AO224" s="250">
        <f t="shared" si="48"/>
        <v>2.8901734104046284E-2</v>
      </c>
      <c r="AP224" s="251"/>
      <c r="AQ224" s="253">
        <v>43686</v>
      </c>
      <c r="AR224" s="136">
        <v>204.07</v>
      </c>
      <c r="AS224" s="250">
        <f t="shared" si="49"/>
        <v>-3.3211233211233315E-3</v>
      </c>
      <c r="AT224" s="251"/>
      <c r="AU224" s="253">
        <v>43686</v>
      </c>
      <c r="AV224" s="136">
        <v>53.97</v>
      </c>
      <c r="AW224" s="250">
        <f t="shared" si="50"/>
        <v>-1.8013100436681251E-2</v>
      </c>
      <c r="AX224" s="251"/>
      <c r="AY224" s="253">
        <v>43686</v>
      </c>
      <c r="AZ224" s="252">
        <v>3007.39</v>
      </c>
      <c r="BA224" s="250">
        <f t="shared" si="51"/>
        <v>9.6283290417662482E-3</v>
      </c>
    </row>
    <row r="225" spans="3:53" ht="14.25" customHeight="1" x14ac:dyDescent="0.35">
      <c r="C225" s="253">
        <v>43474</v>
      </c>
      <c r="D225" s="249">
        <v>137.37</v>
      </c>
      <c r="E225" s="250">
        <f t="shared" si="39"/>
        <v>4.6807576976524157E-3</v>
      </c>
      <c r="G225" s="253">
        <v>43474</v>
      </c>
      <c r="H225" s="136">
        <v>55.23</v>
      </c>
      <c r="I225" s="250">
        <f t="shared" si="40"/>
        <v>3.4520348837208115E-3</v>
      </c>
      <c r="K225" s="253">
        <v>43474</v>
      </c>
      <c r="L225" s="136">
        <v>26.86</v>
      </c>
      <c r="M225" s="250">
        <f t="shared" si="41"/>
        <v>-1.539589442815259E-2</v>
      </c>
      <c r="O225" s="253">
        <v>43474</v>
      </c>
      <c r="P225" s="136">
        <v>28.59</v>
      </c>
      <c r="Q225" s="250">
        <f t="shared" si="42"/>
        <v>-2.556237218813906E-2</v>
      </c>
      <c r="R225" s="251"/>
      <c r="S225" s="253">
        <v>43474</v>
      </c>
      <c r="T225" s="136">
        <v>42.6</v>
      </c>
      <c r="U225" s="250">
        <f t="shared" si="43"/>
        <v>-2.3468669326442981E-4</v>
      </c>
      <c r="V225" s="251"/>
      <c r="W225" s="253">
        <v>43474</v>
      </c>
      <c r="X225" s="136">
        <v>64.22</v>
      </c>
      <c r="Y225" s="250">
        <f t="shared" si="44"/>
        <v>2.2611464968152806E-2</v>
      </c>
      <c r="Z225" s="251"/>
      <c r="AA225" s="253">
        <v>43474</v>
      </c>
      <c r="AB225" s="136">
        <v>27.28</v>
      </c>
      <c r="AC225" s="250">
        <f t="shared" si="45"/>
        <v>6.8965517241379448E-2</v>
      </c>
      <c r="AD225" s="251"/>
      <c r="AE225" s="253">
        <v>43474</v>
      </c>
      <c r="AF225" s="136">
        <v>56.63</v>
      </c>
      <c r="AG225" s="250">
        <f t="shared" si="46"/>
        <v>2.553422672944583E-2</v>
      </c>
      <c r="AH225" s="251"/>
      <c r="AI225" s="253">
        <v>43474</v>
      </c>
      <c r="AJ225" s="136">
        <v>158.97999999999999</v>
      </c>
      <c r="AK225" s="250">
        <f t="shared" si="47"/>
        <v>3.15497223624428E-3</v>
      </c>
      <c r="AL225" s="251"/>
      <c r="AM225" s="253">
        <v>43474</v>
      </c>
      <c r="AN225" s="136">
        <v>44.98</v>
      </c>
      <c r="AO225" s="250">
        <f t="shared" si="48"/>
        <v>-4.4444444444446951E-4</v>
      </c>
      <c r="AP225" s="251"/>
      <c r="AQ225" s="253">
        <v>43474</v>
      </c>
      <c r="AR225" s="136">
        <v>204.75</v>
      </c>
      <c r="AS225" s="250">
        <f t="shared" si="49"/>
        <v>1.9574259848300635E-3</v>
      </c>
      <c r="AT225" s="251"/>
      <c r="AU225" s="253">
        <v>43474</v>
      </c>
      <c r="AV225" s="136">
        <v>54.96</v>
      </c>
      <c r="AW225" s="250">
        <f t="shared" si="50"/>
        <v>2.1561338289962872E-2</v>
      </c>
      <c r="AX225" s="251"/>
      <c r="AY225" s="253">
        <v>43474</v>
      </c>
      <c r="AZ225" s="252">
        <v>2978.71</v>
      </c>
      <c r="BA225" s="250">
        <f t="shared" si="51"/>
        <v>1.7854335955386436E-2</v>
      </c>
    </row>
    <row r="226" spans="3:53" ht="14.25" customHeight="1" x14ac:dyDescent="0.35">
      <c r="C226" s="248" t="s">
        <v>437</v>
      </c>
      <c r="D226" s="249">
        <v>136.72999999999999</v>
      </c>
      <c r="E226" s="250">
        <f t="shared" si="39"/>
        <v>4.9589314500652293E-2</v>
      </c>
      <c r="G226" s="248" t="s">
        <v>437</v>
      </c>
      <c r="H226" s="136">
        <v>55.04</v>
      </c>
      <c r="I226" s="250">
        <f t="shared" si="40"/>
        <v>2.4190547078526192E-2</v>
      </c>
      <c r="K226" s="248" t="s">
        <v>437</v>
      </c>
      <c r="L226" s="136">
        <v>27.28</v>
      </c>
      <c r="M226" s="250">
        <f t="shared" si="41"/>
        <v>2.0958083832335328E-2</v>
      </c>
      <c r="O226" s="248" t="s">
        <v>437</v>
      </c>
      <c r="P226" s="136">
        <v>29.34</v>
      </c>
      <c r="Q226" s="250">
        <f t="shared" si="42"/>
        <v>4.636233951497859E-2</v>
      </c>
      <c r="R226" s="251"/>
      <c r="S226" s="248" t="s">
        <v>437</v>
      </c>
      <c r="T226" s="136">
        <v>42.61</v>
      </c>
      <c r="U226" s="250">
        <f t="shared" si="43"/>
        <v>1.4523809523809605E-2</v>
      </c>
      <c r="V226" s="251"/>
      <c r="W226" s="248" t="s">
        <v>437</v>
      </c>
      <c r="X226" s="136">
        <v>62.8</v>
      </c>
      <c r="Y226" s="250">
        <f t="shared" si="44"/>
        <v>-7.1146245059289237E-3</v>
      </c>
      <c r="Z226" s="251"/>
      <c r="AA226" s="248" t="s">
        <v>437</v>
      </c>
      <c r="AB226" s="136">
        <v>25.52</v>
      </c>
      <c r="AC226" s="250">
        <f t="shared" si="45"/>
        <v>7.5009869719699918E-3</v>
      </c>
      <c r="AD226" s="251"/>
      <c r="AE226" s="248" t="s">
        <v>437</v>
      </c>
      <c r="AF226" s="136">
        <v>55.22</v>
      </c>
      <c r="AG226" s="250">
        <f t="shared" si="46"/>
        <v>2.9647585306731283E-2</v>
      </c>
      <c r="AH226" s="251"/>
      <c r="AI226" s="248" t="s">
        <v>437</v>
      </c>
      <c r="AJ226" s="136">
        <v>158.47999999999999</v>
      </c>
      <c r="AK226" s="250">
        <f t="shared" si="47"/>
        <v>9.233904349487343E-3</v>
      </c>
      <c r="AL226" s="251"/>
      <c r="AM226" s="248" t="s">
        <v>437</v>
      </c>
      <c r="AN226" s="136">
        <v>45</v>
      </c>
      <c r="AO226" s="250">
        <f t="shared" si="48"/>
        <v>5.4358013120899829E-2</v>
      </c>
      <c r="AP226" s="251"/>
      <c r="AQ226" s="248" t="s">
        <v>437</v>
      </c>
      <c r="AR226" s="136">
        <v>204.35</v>
      </c>
      <c r="AS226" s="250">
        <f t="shared" si="49"/>
        <v>2.9419172837640506E-2</v>
      </c>
      <c r="AT226" s="251"/>
      <c r="AU226" s="248" t="s">
        <v>437</v>
      </c>
      <c r="AV226" s="136">
        <v>53.8</v>
      </c>
      <c r="AW226" s="250">
        <f t="shared" si="50"/>
        <v>3.1698676114113589E-3</v>
      </c>
      <c r="AX226" s="251"/>
      <c r="AY226" s="248" t="s">
        <v>437</v>
      </c>
      <c r="AZ226" s="252">
        <v>2926.46</v>
      </c>
      <c r="BA226" s="250">
        <f t="shared" si="51"/>
        <v>2.7870366792993595E-2</v>
      </c>
    </row>
    <row r="227" spans="3:53" ht="14.25" customHeight="1" x14ac:dyDescent="0.35">
      <c r="C227" s="248" t="s">
        <v>438</v>
      </c>
      <c r="D227" s="249">
        <v>130.27000000000001</v>
      </c>
      <c r="E227" s="250">
        <f t="shared" si="39"/>
        <v>-1.1308439587128016E-2</v>
      </c>
      <c r="G227" s="248" t="s">
        <v>438</v>
      </c>
      <c r="H227" s="136">
        <v>53.74</v>
      </c>
      <c r="I227" s="250">
        <f t="shared" si="40"/>
        <v>-1.2313912883661016E-2</v>
      </c>
      <c r="K227" s="248" t="s">
        <v>438</v>
      </c>
      <c r="L227" s="136">
        <v>26.72</v>
      </c>
      <c r="M227" s="250">
        <f t="shared" si="41"/>
        <v>-4.6054980364155784E-2</v>
      </c>
      <c r="O227" s="248" t="s">
        <v>438</v>
      </c>
      <c r="P227" s="136">
        <v>28.04</v>
      </c>
      <c r="Q227" s="250">
        <f t="shared" si="42"/>
        <v>-1.9237495627841938E-2</v>
      </c>
      <c r="R227" s="251"/>
      <c r="S227" s="248" t="s">
        <v>438</v>
      </c>
      <c r="T227" s="136">
        <v>42</v>
      </c>
      <c r="U227" s="250">
        <f t="shared" si="43"/>
        <v>1.3268998793727338E-2</v>
      </c>
      <c r="V227" s="251"/>
      <c r="W227" s="248" t="s">
        <v>438</v>
      </c>
      <c r="X227" s="136">
        <v>63.25</v>
      </c>
      <c r="Y227" s="250">
        <f t="shared" si="44"/>
        <v>-8.309814989024833E-3</v>
      </c>
      <c r="Z227" s="251"/>
      <c r="AA227" s="248" t="s">
        <v>438</v>
      </c>
      <c r="AB227" s="136">
        <v>25.33</v>
      </c>
      <c r="AC227" s="250">
        <f t="shared" si="45"/>
        <v>-3.1483667847305163E-3</v>
      </c>
      <c r="AD227" s="251"/>
      <c r="AE227" s="248" t="s">
        <v>438</v>
      </c>
      <c r="AF227" s="136">
        <v>53.63</v>
      </c>
      <c r="AG227" s="250">
        <f t="shared" si="46"/>
        <v>-1.6685001833516622E-2</v>
      </c>
      <c r="AH227" s="251"/>
      <c r="AI227" s="248" t="s">
        <v>438</v>
      </c>
      <c r="AJ227" s="136">
        <v>157.03</v>
      </c>
      <c r="AK227" s="250">
        <f t="shared" si="47"/>
        <v>1.0229027277406155E-2</v>
      </c>
      <c r="AL227" s="251"/>
      <c r="AM227" s="248" t="s">
        <v>438</v>
      </c>
      <c r="AN227" s="136">
        <v>42.68</v>
      </c>
      <c r="AO227" s="250">
        <f t="shared" si="48"/>
        <v>9.3808630393987791E-4</v>
      </c>
      <c r="AP227" s="251"/>
      <c r="AQ227" s="248" t="s">
        <v>438</v>
      </c>
      <c r="AR227" s="136">
        <v>198.51</v>
      </c>
      <c r="AS227" s="250">
        <f t="shared" si="49"/>
        <v>-1.4085215554102692E-3</v>
      </c>
      <c r="AT227" s="251"/>
      <c r="AU227" s="248" t="s">
        <v>438</v>
      </c>
      <c r="AV227" s="136">
        <v>53.63</v>
      </c>
      <c r="AW227" s="250">
        <f t="shared" si="50"/>
        <v>-2.5263540530716111E-2</v>
      </c>
      <c r="AX227" s="251"/>
      <c r="AY227" s="248" t="s">
        <v>438</v>
      </c>
      <c r="AZ227" s="252">
        <v>2847.11</v>
      </c>
      <c r="BA227" s="250">
        <f t="shared" si="51"/>
        <v>-1.4390655939737096E-2</v>
      </c>
    </row>
    <row r="228" spans="3:53" ht="14.25" customHeight="1" x14ac:dyDescent="0.35">
      <c r="C228" s="253">
        <v>43777</v>
      </c>
      <c r="D228" s="249">
        <v>131.76</v>
      </c>
      <c r="E228" s="250">
        <f t="shared" si="39"/>
        <v>2.457231726283049E-2</v>
      </c>
      <c r="G228" s="253">
        <v>43777</v>
      </c>
      <c r="H228" s="136">
        <v>54.41</v>
      </c>
      <c r="I228" s="250">
        <f t="shared" si="40"/>
        <v>1.8532384874578645E-2</v>
      </c>
      <c r="K228" s="253">
        <v>43777</v>
      </c>
      <c r="L228" s="136">
        <v>28.01</v>
      </c>
      <c r="M228" s="250">
        <f t="shared" si="41"/>
        <v>-3.7126160192505919E-2</v>
      </c>
      <c r="O228" s="253">
        <v>43777</v>
      </c>
      <c r="P228" s="136">
        <v>28.59</v>
      </c>
      <c r="Q228" s="250">
        <f t="shared" si="42"/>
        <v>-3.4447821681864221E-2</v>
      </c>
      <c r="R228" s="251"/>
      <c r="S228" s="253">
        <v>43777</v>
      </c>
      <c r="T228" s="136">
        <v>41.45</v>
      </c>
      <c r="U228" s="250">
        <f t="shared" si="43"/>
        <v>-6.2335171421721292E-3</v>
      </c>
      <c r="V228" s="251"/>
      <c r="W228" s="253">
        <v>43777</v>
      </c>
      <c r="X228" s="136">
        <v>63.78</v>
      </c>
      <c r="Y228" s="250">
        <f t="shared" si="44"/>
        <v>2.5731746542296596E-2</v>
      </c>
      <c r="Z228" s="251"/>
      <c r="AA228" s="253">
        <v>43777</v>
      </c>
      <c r="AB228" s="136">
        <v>25.41</v>
      </c>
      <c r="AC228" s="250">
        <f t="shared" si="45"/>
        <v>-4.113207547169806E-2</v>
      </c>
      <c r="AD228" s="251"/>
      <c r="AE228" s="253">
        <v>43777</v>
      </c>
      <c r="AF228" s="136">
        <v>54.54</v>
      </c>
      <c r="AG228" s="250">
        <f t="shared" si="46"/>
        <v>-2.7427317608337276E-3</v>
      </c>
      <c r="AH228" s="251"/>
      <c r="AI228" s="253">
        <v>43777</v>
      </c>
      <c r="AJ228" s="136">
        <v>155.44</v>
      </c>
      <c r="AK228" s="250">
        <f t="shared" si="47"/>
        <v>-2.5726781579615832E-4</v>
      </c>
      <c r="AL228" s="251"/>
      <c r="AM228" s="253">
        <v>43777</v>
      </c>
      <c r="AN228" s="136">
        <v>42.64</v>
      </c>
      <c r="AO228" s="250">
        <f t="shared" si="48"/>
        <v>2.0339794209141004E-2</v>
      </c>
      <c r="AP228" s="251"/>
      <c r="AQ228" s="253">
        <v>43777</v>
      </c>
      <c r="AR228" s="136">
        <v>198.79</v>
      </c>
      <c r="AS228" s="250">
        <f t="shared" si="49"/>
        <v>2.3899047128508766E-2</v>
      </c>
      <c r="AT228" s="251"/>
      <c r="AU228" s="253">
        <v>43777</v>
      </c>
      <c r="AV228" s="136">
        <v>55.02</v>
      </c>
      <c r="AW228" s="250">
        <f t="shared" si="50"/>
        <v>2.0400593471810113E-2</v>
      </c>
      <c r="AX228" s="251"/>
      <c r="AY228" s="253">
        <v>43777</v>
      </c>
      <c r="AZ228" s="252">
        <v>2888.68</v>
      </c>
      <c r="BA228" s="250">
        <f t="shared" si="51"/>
        <v>-1.0268446028129485E-2</v>
      </c>
    </row>
    <row r="229" spans="3:53" ht="14.25" customHeight="1" x14ac:dyDescent="0.35">
      <c r="C229" s="253">
        <v>43563</v>
      </c>
      <c r="D229" s="249">
        <v>128.6</v>
      </c>
      <c r="E229" s="250">
        <f t="shared" si="39"/>
        <v>5.3158223889930856E-3</v>
      </c>
      <c r="G229" s="253">
        <v>43563</v>
      </c>
      <c r="H229" s="136">
        <v>53.42</v>
      </c>
      <c r="I229" s="250">
        <f t="shared" si="40"/>
        <v>2.0829352188037609E-2</v>
      </c>
      <c r="K229" s="253">
        <v>43563</v>
      </c>
      <c r="L229" s="136">
        <v>29.09</v>
      </c>
      <c r="M229" s="250">
        <f t="shared" si="41"/>
        <v>3.5231316725978568E-2</v>
      </c>
      <c r="O229" s="253">
        <v>43563</v>
      </c>
      <c r="P229" s="136">
        <v>29.61</v>
      </c>
      <c r="Q229" s="250">
        <f t="shared" si="42"/>
        <v>-5.0961538461538503E-2</v>
      </c>
      <c r="R229" s="251"/>
      <c r="S229" s="253">
        <v>43563</v>
      </c>
      <c r="T229" s="136">
        <v>41.71</v>
      </c>
      <c r="U229" s="250">
        <f t="shared" si="43"/>
        <v>8.4622823984525919E-3</v>
      </c>
      <c r="V229" s="251"/>
      <c r="W229" s="253">
        <v>43563</v>
      </c>
      <c r="X229" s="136">
        <v>62.18</v>
      </c>
      <c r="Y229" s="250">
        <f t="shared" si="44"/>
        <v>-1.9242902208201906E-2</v>
      </c>
      <c r="Z229" s="251"/>
      <c r="AA229" s="253">
        <v>43563</v>
      </c>
      <c r="AB229" s="136">
        <v>26.5</v>
      </c>
      <c r="AC229" s="250">
        <f t="shared" si="45"/>
        <v>-0.17727413846631479</v>
      </c>
      <c r="AD229" s="251"/>
      <c r="AE229" s="253">
        <v>43563</v>
      </c>
      <c r="AF229" s="136">
        <v>54.69</v>
      </c>
      <c r="AG229" s="250">
        <f t="shared" si="46"/>
        <v>1.7299107142857206E-2</v>
      </c>
      <c r="AH229" s="251"/>
      <c r="AI229" s="253">
        <v>43563</v>
      </c>
      <c r="AJ229" s="136">
        <v>155.47999999999999</v>
      </c>
      <c r="AK229" s="250">
        <f t="shared" si="47"/>
        <v>2.2155019393859554E-2</v>
      </c>
      <c r="AL229" s="251"/>
      <c r="AM229" s="253">
        <v>43563</v>
      </c>
      <c r="AN229" s="136">
        <v>41.79</v>
      </c>
      <c r="AO229" s="250">
        <f t="shared" si="48"/>
        <v>-1.2990080302314744E-2</v>
      </c>
      <c r="AP229" s="251"/>
      <c r="AQ229" s="253">
        <v>43563</v>
      </c>
      <c r="AR229" s="136">
        <v>194.15</v>
      </c>
      <c r="AS229" s="250">
        <f t="shared" si="49"/>
        <v>7.3155546331846732E-3</v>
      </c>
      <c r="AT229" s="251"/>
      <c r="AU229" s="253">
        <v>43563</v>
      </c>
      <c r="AV229" s="136">
        <v>53.92</v>
      </c>
      <c r="AW229" s="250">
        <f t="shared" si="50"/>
        <v>4.096834264432081E-3</v>
      </c>
      <c r="AX229" s="251"/>
      <c r="AY229" s="253">
        <v>43563</v>
      </c>
      <c r="AZ229" s="252">
        <v>2918.65</v>
      </c>
      <c r="BA229" s="250">
        <f t="shared" si="51"/>
        <v>-4.5701812724885382E-3</v>
      </c>
    </row>
    <row r="230" spans="3:53" ht="14.25" customHeight="1" x14ac:dyDescent="0.35">
      <c r="C230" s="248" t="s">
        <v>439</v>
      </c>
      <c r="D230" s="249">
        <v>127.92</v>
      </c>
      <c r="E230" s="250">
        <f t="shared" si="39"/>
        <v>-2.5148605395518997E-2</v>
      </c>
      <c r="G230" s="248" t="s">
        <v>439</v>
      </c>
      <c r="H230" s="136">
        <v>52.33</v>
      </c>
      <c r="I230" s="250">
        <f t="shared" si="40"/>
        <v>-3.3967140483662561E-2</v>
      </c>
      <c r="K230" s="248" t="s">
        <v>439</v>
      </c>
      <c r="L230" s="136">
        <v>28.1</v>
      </c>
      <c r="M230" s="250">
        <f t="shared" si="41"/>
        <v>0</v>
      </c>
      <c r="O230" s="248" t="s">
        <v>439</v>
      </c>
      <c r="P230" s="136">
        <v>31.2</v>
      </c>
      <c r="Q230" s="250">
        <f t="shared" si="42"/>
        <v>-4.2944785276073705E-2</v>
      </c>
      <c r="R230" s="251"/>
      <c r="S230" s="248" t="s">
        <v>439</v>
      </c>
      <c r="T230" s="136">
        <v>41.36</v>
      </c>
      <c r="U230" s="250">
        <f t="shared" si="43"/>
        <v>-4.8332527791206115E-4</v>
      </c>
      <c r="V230" s="251"/>
      <c r="W230" s="248" t="s">
        <v>439</v>
      </c>
      <c r="X230" s="136">
        <v>63.4</v>
      </c>
      <c r="Y230" s="250">
        <f t="shared" si="44"/>
        <v>7.9516431125489451E-2</v>
      </c>
      <c r="Z230" s="251"/>
      <c r="AA230" s="248" t="s">
        <v>439</v>
      </c>
      <c r="AB230" s="136">
        <v>32.21</v>
      </c>
      <c r="AC230" s="250">
        <f t="shared" si="45"/>
        <v>1.1302982731554057E-2</v>
      </c>
      <c r="AD230" s="251"/>
      <c r="AE230" s="248" t="s">
        <v>439</v>
      </c>
      <c r="AF230" s="136">
        <v>53.76</v>
      </c>
      <c r="AG230" s="250">
        <f t="shared" si="46"/>
        <v>-1.9157088122605415E-2</v>
      </c>
      <c r="AH230" s="251"/>
      <c r="AI230" s="248" t="s">
        <v>439</v>
      </c>
      <c r="AJ230" s="136">
        <v>152.11000000000001</v>
      </c>
      <c r="AK230" s="250">
        <f t="shared" si="47"/>
        <v>-5.6870179108378105E-3</v>
      </c>
      <c r="AL230" s="251"/>
      <c r="AM230" s="248" t="s">
        <v>439</v>
      </c>
      <c r="AN230" s="136">
        <v>42.34</v>
      </c>
      <c r="AO230" s="250">
        <f t="shared" si="48"/>
        <v>3.369140625E-2</v>
      </c>
      <c r="AP230" s="251"/>
      <c r="AQ230" s="248" t="s">
        <v>439</v>
      </c>
      <c r="AR230" s="136">
        <v>192.74</v>
      </c>
      <c r="AS230" s="250">
        <f t="shared" si="49"/>
        <v>-5.482542173401328E-2</v>
      </c>
      <c r="AT230" s="251"/>
      <c r="AU230" s="248" t="s">
        <v>439</v>
      </c>
      <c r="AV230" s="136">
        <v>53.7</v>
      </c>
      <c r="AW230" s="250">
        <f t="shared" si="50"/>
        <v>1.1185682326622093E-3</v>
      </c>
      <c r="AX230" s="251"/>
      <c r="AY230" s="248" t="s">
        <v>439</v>
      </c>
      <c r="AZ230" s="252">
        <v>2932.05</v>
      </c>
      <c r="BA230" s="250">
        <f t="shared" si="51"/>
        <v>-3.1002756241200857E-2</v>
      </c>
    </row>
    <row r="231" spans="3:53" ht="14.25" customHeight="1" x14ac:dyDescent="0.35">
      <c r="C231" s="248" t="s">
        <v>440</v>
      </c>
      <c r="D231" s="249">
        <v>131.22</v>
      </c>
      <c r="E231" s="250">
        <f t="shared" si="39"/>
        <v>8.6862941040817265E-3</v>
      </c>
      <c r="G231" s="248" t="s">
        <v>440</v>
      </c>
      <c r="H231" s="136">
        <v>54.17</v>
      </c>
      <c r="I231" s="250">
        <f t="shared" si="40"/>
        <v>5.4096127651294124E-2</v>
      </c>
      <c r="K231" s="248" t="s">
        <v>440</v>
      </c>
      <c r="L231" s="136">
        <v>28.1</v>
      </c>
      <c r="M231" s="250">
        <f t="shared" si="41"/>
        <v>1.7010495837857409E-2</v>
      </c>
      <c r="O231" s="248" t="s">
        <v>440</v>
      </c>
      <c r="P231" s="136">
        <v>32.6</v>
      </c>
      <c r="Q231" s="250">
        <f t="shared" si="42"/>
        <v>3.0667088207398052E-2</v>
      </c>
      <c r="R231" s="251"/>
      <c r="S231" s="248" t="s">
        <v>440</v>
      </c>
      <c r="T231" s="136">
        <v>41.38</v>
      </c>
      <c r="U231" s="250">
        <f t="shared" si="43"/>
        <v>2.9083858458556211E-3</v>
      </c>
      <c r="V231" s="251"/>
      <c r="W231" s="248" t="s">
        <v>440</v>
      </c>
      <c r="X231" s="136">
        <v>58.73</v>
      </c>
      <c r="Y231" s="250">
        <f t="shared" si="44"/>
        <v>3.7999293036408588E-2</v>
      </c>
      <c r="Z231" s="251"/>
      <c r="AA231" s="248" t="s">
        <v>440</v>
      </c>
      <c r="AB231" s="136">
        <v>31.85</v>
      </c>
      <c r="AC231" s="250">
        <f t="shared" si="45"/>
        <v>9.8287888395689471E-3</v>
      </c>
      <c r="AD231" s="251"/>
      <c r="AE231" s="248" t="s">
        <v>440</v>
      </c>
      <c r="AF231" s="136">
        <v>54.81</v>
      </c>
      <c r="AG231" s="250">
        <f t="shared" si="46"/>
        <v>-1.457460375296038E-3</v>
      </c>
      <c r="AH231" s="251"/>
      <c r="AI231" s="248" t="s">
        <v>440</v>
      </c>
      <c r="AJ231" s="136">
        <v>152.97999999999999</v>
      </c>
      <c r="AK231" s="250">
        <f t="shared" si="47"/>
        <v>5.3726408596225239E-2</v>
      </c>
      <c r="AL231" s="251"/>
      <c r="AM231" s="248" t="s">
        <v>440</v>
      </c>
      <c r="AN231" s="136">
        <v>40.96</v>
      </c>
      <c r="AO231" s="250">
        <f t="shared" si="48"/>
        <v>-7.5115095711171254E-3</v>
      </c>
      <c r="AP231" s="251"/>
      <c r="AQ231" s="248" t="s">
        <v>440</v>
      </c>
      <c r="AR231" s="136">
        <v>203.92</v>
      </c>
      <c r="AS231" s="250">
        <f t="shared" si="49"/>
        <v>1.1658480924740866E-2</v>
      </c>
      <c r="AT231" s="251"/>
      <c r="AU231" s="248" t="s">
        <v>440</v>
      </c>
      <c r="AV231" s="136">
        <v>53.64</v>
      </c>
      <c r="AW231" s="250">
        <f t="shared" si="50"/>
        <v>1.6486640136441189E-2</v>
      </c>
      <c r="AX231" s="251"/>
      <c r="AY231" s="248" t="s">
        <v>440</v>
      </c>
      <c r="AZ231" s="252">
        <v>3025.86</v>
      </c>
      <c r="BA231" s="250">
        <f t="shared" si="51"/>
        <v>1.6545667722677848E-2</v>
      </c>
    </row>
    <row r="232" spans="3:53" ht="14.25" customHeight="1" x14ac:dyDescent="0.35">
      <c r="C232" s="248" t="s">
        <v>441</v>
      </c>
      <c r="D232" s="249">
        <v>130.09</v>
      </c>
      <c r="E232" s="250">
        <f t="shared" si="39"/>
        <v>-2.3934573829531791E-2</v>
      </c>
      <c r="G232" s="248" t="s">
        <v>441</v>
      </c>
      <c r="H232" s="136">
        <v>51.39</v>
      </c>
      <c r="I232" s="250">
        <f t="shared" si="40"/>
        <v>-1.400613967766684E-2</v>
      </c>
      <c r="K232" s="248" t="s">
        <v>441</v>
      </c>
      <c r="L232" s="136">
        <v>27.63</v>
      </c>
      <c r="M232" s="250">
        <f t="shared" si="41"/>
        <v>-3.8287504350852819E-2</v>
      </c>
      <c r="O232" s="248" t="s">
        <v>441</v>
      </c>
      <c r="P232" s="136">
        <v>31.63</v>
      </c>
      <c r="Q232" s="250">
        <f t="shared" si="42"/>
        <v>-2.6769230769230767E-2</v>
      </c>
      <c r="R232" s="251"/>
      <c r="S232" s="248" t="s">
        <v>441</v>
      </c>
      <c r="T232" s="136">
        <v>41.26</v>
      </c>
      <c r="U232" s="250">
        <f t="shared" si="43"/>
        <v>6.0960741282614084E-3</v>
      </c>
      <c r="V232" s="251"/>
      <c r="W232" s="248" t="s">
        <v>441</v>
      </c>
      <c r="X232" s="136">
        <v>56.58</v>
      </c>
      <c r="Y232" s="250">
        <f t="shared" si="44"/>
        <v>3.7213565536205362E-2</v>
      </c>
      <c r="Z232" s="251"/>
      <c r="AA232" s="248" t="s">
        <v>441</v>
      </c>
      <c r="AB232" s="136">
        <v>31.54</v>
      </c>
      <c r="AC232" s="250">
        <f t="shared" si="45"/>
        <v>2.4025974025974062E-2</v>
      </c>
      <c r="AD232" s="251"/>
      <c r="AE232" s="248" t="s">
        <v>441</v>
      </c>
      <c r="AF232" s="136">
        <v>54.89</v>
      </c>
      <c r="AG232" s="250">
        <f t="shared" si="46"/>
        <v>6.4173083975065381E-3</v>
      </c>
      <c r="AH232" s="251"/>
      <c r="AI232" s="248" t="s">
        <v>441</v>
      </c>
      <c r="AJ232" s="136">
        <v>145.18</v>
      </c>
      <c r="AK232" s="250">
        <f t="shared" si="47"/>
        <v>5.8394692717066654E-2</v>
      </c>
      <c r="AL232" s="251"/>
      <c r="AM232" s="248" t="s">
        <v>441</v>
      </c>
      <c r="AN232" s="136">
        <v>41.27</v>
      </c>
      <c r="AO232" s="250">
        <f t="shared" si="48"/>
        <v>8.5532746823069328E-3</v>
      </c>
      <c r="AP232" s="251"/>
      <c r="AQ232" s="248" t="s">
        <v>441</v>
      </c>
      <c r="AR232" s="136">
        <v>201.57</v>
      </c>
      <c r="AS232" s="250">
        <f t="shared" si="49"/>
        <v>9.8697394789579729E-3</v>
      </c>
      <c r="AT232" s="251"/>
      <c r="AU232" s="248" t="s">
        <v>441</v>
      </c>
      <c r="AV232" s="136">
        <v>52.77</v>
      </c>
      <c r="AW232" s="250">
        <f t="shared" si="50"/>
        <v>-1.2537425149700465E-2</v>
      </c>
      <c r="AX232" s="251"/>
      <c r="AY232" s="248" t="s">
        <v>441</v>
      </c>
      <c r="AZ232" s="252">
        <v>2976.61</v>
      </c>
      <c r="BA232" s="250">
        <f t="shared" si="51"/>
        <v>-1.2330071637848938E-2</v>
      </c>
    </row>
    <row r="233" spans="3:53" ht="14.25" customHeight="1" x14ac:dyDescent="0.35">
      <c r="C233" s="253">
        <v>43653</v>
      </c>
      <c r="D233" s="249">
        <v>133.28</v>
      </c>
      <c r="E233" s="250">
        <f t="shared" si="39"/>
        <v>1.9545932942413025E-3</v>
      </c>
      <c r="G233" s="253">
        <v>43653</v>
      </c>
      <c r="H233" s="136">
        <v>52.12</v>
      </c>
      <c r="I233" s="250">
        <f t="shared" si="40"/>
        <v>1.9190174630590029E-4</v>
      </c>
      <c r="K233" s="253">
        <v>43653</v>
      </c>
      <c r="L233" s="136">
        <v>28.73</v>
      </c>
      <c r="M233" s="250">
        <f t="shared" si="41"/>
        <v>-4.4880319148936088E-2</v>
      </c>
      <c r="O233" s="253">
        <v>43653</v>
      </c>
      <c r="P233" s="136">
        <v>32.5</v>
      </c>
      <c r="Q233" s="250">
        <f t="shared" si="42"/>
        <v>-1.3956310679611672E-2</v>
      </c>
      <c r="R233" s="251"/>
      <c r="S233" s="253">
        <v>43653</v>
      </c>
      <c r="T233" s="136">
        <v>41.01</v>
      </c>
      <c r="U233" s="250">
        <f t="shared" si="43"/>
        <v>-1.180722891566266E-2</v>
      </c>
      <c r="V233" s="251"/>
      <c r="W233" s="253">
        <v>43653</v>
      </c>
      <c r="X233" s="136">
        <v>54.55</v>
      </c>
      <c r="Y233" s="250">
        <f t="shared" si="44"/>
        <v>-2.187556033709892E-2</v>
      </c>
      <c r="Z233" s="251"/>
      <c r="AA233" s="253">
        <v>43653</v>
      </c>
      <c r="AB233" s="136">
        <v>30.8</v>
      </c>
      <c r="AC233" s="250">
        <f t="shared" si="45"/>
        <v>-6.1310100032268E-3</v>
      </c>
      <c r="AD233" s="251"/>
      <c r="AE233" s="253">
        <v>43653</v>
      </c>
      <c r="AF233" s="136">
        <v>54.54</v>
      </c>
      <c r="AG233" s="250">
        <f t="shared" si="46"/>
        <v>-1.7297297297297343E-2</v>
      </c>
      <c r="AH233" s="251"/>
      <c r="AI233" s="253">
        <v>43653</v>
      </c>
      <c r="AJ233" s="136">
        <v>137.16999999999999</v>
      </c>
      <c r="AK233" s="250">
        <f t="shared" si="47"/>
        <v>-7.8836973817445477E-3</v>
      </c>
      <c r="AL233" s="251"/>
      <c r="AM233" s="253">
        <v>43653</v>
      </c>
      <c r="AN233" s="136">
        <v>40.92</v>
      </c>
      <c r="AO233" s="250">
        <f t="shared" si="48"/>
        <v>-1.5636276160692741E-2</v>
      </c>
      <c r="AP233" s="251"/>
      <c r="AQ233" s="253">
        <v>43653</v>
      </c>
      <c r="AR233" s="136">
        <v>199.6</v>
      </c>
      <c r="AS233" s="250">
        <f t="shared" si="49"/>
        <v>1.0684085270140198E-2</v>
      </c>
      <c r="AT233" s="251"/>
      <c r="AU233" s="253">
        <v>43653</v>
      </c>
      <c r="AV233" s="136">
        <v>53.44</v>
      </c>
      <c r="AW233" s="250">
        <f t="shared" si="50"/>
        <v>-1.3658176448874126E-2</v>
      </c>
      <c r="AX233" s="251"/>
      <c r="AY233" s="253">
        <v>43653</v>
      </c>
      <c r="AZ233" s="252">
        <v>3013.77</v>
      </c>
      <c r="BA233" s="250">
        <f t="shared" si="51"/>
        <v>7.8116378690546995E-3</v>
      </c>
    </row>
    <row r="234" spans="3:53" ht="14.25" customHeight="1" x14ac:dyDescent="0.35">
      <c r="C234" s="248" t="s">
        <v>442</v>
      </c>
      <c r="D234" s="249">
        <v>133.02000000000001</v>
      </c>
      <c r="E234" s="250">
        <f t="shared" si="39"/>
        <v>1.441317776252582E-2</v>
      </c>
      <c r="G234" s="248" t="s">
        <v>442</v>
      </c>
      <c r="H234" s="136">
        <v>52.11</v>
      </c>
      <c r="I234" s="250">
        <f t="shared" si="40"/>
        <v>2.3369992144540497E-2</v>
      </c>
      <c r="K234" s="248" t="s">
        <v>442</v>
      </c>
      <c r="L234" s="136">
        <v>30.08</v>
      </c>
      <c r="M234" s="250">
        <f t="shared" si="41"/>
        <v>4.0830449826989579E-2</v>
      </c>
      <c r="O234" s="248" t="s">
        <v>442</v>
      </c>
      <c r="P234" s="136">
        <v>32.96</v>
      </c>
      <c r="Q234" s="250">
        <f t="shared" si="42"/>
        <v>3.2905045440300817E-2</v>
      </c>
      <c r="R234" s="251"/>
      <c r="S234" s="248" t="s">
        <v>442</v>
      </c>
      <c r="T234" s="136">
        <v>41.5</v>
      </c>
      <c r="U234" s="250">
        <f t="shared" si="43"/>
        <v>2.3680315737543145E-2</v>
      </c>
      <c r="V234" s="251"/>
      <c r="W234" s="248" t="s">
        <v>442</v>
      </c>
      <c r="X234" s="136">
        <v>55.77</v>
      </c>
      <c r="Y234" s="250">
        <f t="shared" si="44"/>
        <v>4.1067761806981462E-2</v>
      </c>
      <c r="Z234" s="251"/>
      <c r="AA234" s="248" t="s">
        <v>442</v>
      </c>
      <c r="AB234" s="136">
        <v>30.99</v>
      </c>
      <c r="AC234" s="250">
        <f t="shared" si="45"/>
        <v>-1.6108247422680355E-3</v>
      </c>
      <c r="AD234" s="251"/>
      <c r="AE234" s="248" t="s">
        <v>442</v>
      </c>
      <c r="AF234" s="136">
        <v>55.5</v>
      </c>
      <c r="AG234" s="250">
        <f t="shared" si="46"/>
        <v>2.9684601113172615E-2</v>
      </c>
      <c r="AH234" s="251"/>
      <c r="AI234" s="248" t="s">
        <v>442</v>
      </c>
      <c r="AJ234" s="136">
        <v>138.26</v>
      </c>
      <c r="AK234" s="250">
        <f t="shared" si="47"/>
        <v>3.1560098485413635E-2</v>
      </c>
      <c r="AL234" s="251"/>
      <c r="AM234" s="248" t="s">
        <v>442</v>
      </c>
      <c r="AN234" s="136">
        <v>41.57</v>
      </c>
      <c r="AO234" s="250">
        <f t="shared" si="48"/>
        <v>3.7434489643124458E-2</v>
      </c>
      <c r="AP234" s="251"/>
      <c r="AQ234" s="248" t="s">
        <v>442</v>
      </c>
      <c r="AR234" s="136">
        <v>197.49</v>
      </c>
      <c r="AS234" s="250">
        <f t="shared" si="49"/>
        <v>2.7927287498730191E-3</v>
      </c>
      <c r="AT234" s="251"/>
      <c r="AU234" s="248" t="s">
        <v>442</v>
      </c>
      <c r="AV234" s="136">
        <v>54.18</v>
      </c>
      <c r="AW234" s="250">
        <f t="shared" si="50"/>
        <v>3.160700685453155E-2</v>
      </c>
      <c r="AX234" s="251"/>
      <c r="AY234" s="248" t="s">
        <v>442</v>
      </c>
      <c r="AZ234" s="252">
        <v>2990.41</v>
      </c>
      <c r="BA234" s="250">
        <f t="shared" si="51"/>
        <v>1.6537718916566746E-2</v>
      </c>
    </row>
    <row r="235" spans="3:53" ht="14.25" customHeight="1" x14ac:dyDescent="0.35">
      <c r="C235" s="248" t="s">
        <v>443</v>
      </c>
      <c r="D235" s="249">
        <v>131.13</v>
      </c>
      <c r="E235" s="250">
        <f t="shared" si="39"/>
        <v>-2.1125709166915585E-2</v>
      </c>
      <c r="G235" s="248" t="s">
        <v>443</v>
      </c>
      <c r="H235" s="136">
        <v>50.92</v>
      </c>
      <c r="I235" s="250">
        <f t="shared" si="40"/>
        <v>-1.2221144519883542E-2</v>
      </c>
      <c r="K235" s="248" t="s">
        <v>443</v>
      </c>
      <c r="L235" s="136">
        <v>28.9</v>
      </c>
      <c r="M235" s="250">
        <f t="shared" si="41"/>
        <v>-5.7096247960848334E-2</v>
      </c>
      <c r="O235" s="248" t="s">
        <v>443</v>
      </c>
      <c r="P235" s="136">
        <v>31.91</v>
      </c>
      <c r="Q235" s="250">
        <f t="shared" si="42"/>
        <v>6.2715584822825576E-4</v>
      </c>
      <c r="R235" s="251"/>
      <c r="S235" s="248" t="s">
        <v>443</v>
      </c>
      <c r="T235" s="136">
        <v>40.54</v>
      </c>
      <c r="U235" s="250">
        <f t="shared" si="43"/>
        <v>-2.1009418014972137E-2</v>
      </c>
      <c r="V235" s="251"/>
      <c r="W235" s="248" t="s">
        <v>443</v>
      </c>
      <c r="X235" s="136">
        <v>53.57</v>
      </c>
      <c r="Y235" s="250">
        <f t="shared" si="44"/>
        <v>-3.633747076812377E-2</v>
      </c>
      <c r="Z235" s="251"/>
      <c r="AA235" s="248" t="s">
        <v>443</v>
      </c>
      <c r="AB235" s="136">
        <v>31.04</v>
      </c>
      <c r="AC235" s="250">
        <f t="shared" si="45"/>
        <v>-1.3977128335451172E-2</v>
      </c>
      <c r="AD235" s="251"/>
      <c r="AE235" s="248" t="s">
        <v>443</v>
      </c>
      <c r="AF235" s="136">
        <v>53.9</v>
      </c>
      <c r="AG235" s="250">
        <f t="shared" si="46"/>
        <v>-2.4434389140271517E-2</v>
      </c>
      <c r="AH235" s="251"/>
      <c r="AI235" s="248" t="s">
        <v>443</v>
      </c>
      <c r="AJ235" s="136">
        <v>134.03</v>
      </c>
      <c r="AK235" s="250">
        <f t="shared" si="47"/>
        <v>-2.2606286005979692E-2</v>
      </c>
      <c r="AL235" s="251"/>
      <c r="AM235" s="248" t="s">
        <v>443</v>
      </c>
      <c r="AN235" s="136">
        <v>40.07</v>
      </c>
      <c r="AO235" s="250">
        <f t="shared" si="48"/>
        <v>-1.5237159007126966E-2</v>
      </c>
      <c r="AP235" s="251"/>
      <c r="AQ235" s="248" t="s">
        <v>443</v>
      </c>
      <c r="AR235" s="136">
        <v>196.94</v>
      </c>
      <c r="AS235" s="250">
        <f t="shared" si="49"/>
        <v>7.1898982202144524E-2</v>
      </c>
      <c r="AT235" s="251"/>
      <c r="AU235" s="248" t="s">
        <v>443</v>
      </c>
      <c r="AV235" s="136">
        <v>52.52</v>
      </c>
      <c r="AW235" s="250">
        <f t="shared" si="50"/>
        <v>-2.3247163846010777E-2</v>
      </c>
      <c r="AX235" s="251"/>
      <c r="AY235" s="248" t="s">
        <v>443</v>
      </c>
      <c r="AZ235" s="252">
        <v>2941.76</v>
      </c>
      <c r="BA235" s="250">
        <f t="shared" si="51"/>
        <v>-2.9486927462157864E-3</v>
      </c>
    </row>
    <row r="236" spans="3:53" ht="14.25" customHeight="1" x14ac:dyDescent="0.35">
      <c r="C236" s="248" t="s">
        <v>444</v>
      </c>
      <c r="D236" s="249">
        <v>133.96</v>
      </c>
      <c r="E236" s="250">
        <f t="shared" si="39"/>
        <v>9.2669328712424726E-3</v>
      </c>
      <c r="G236" s="248" t="s">
        <v>444</v>
      </c>
      <c r="H236" s="136">
        <v>51.55</v>
      </c>
      <c r="I236" s="250">
        <f t="shared" si="40"/>
        <v>4.6774507893196926E-3</v>
      </c>
      <c r="K236" s="248" t="s">
        <v>444</v>
      </c>
      <c r="L236" s="136">
        <v>30.65</v>
      </c>
      <c r="M236" s="250">
        <f t="shared" si="41"/>
        <v>7.0555361508906733E-2</v>
      </c>
      <c r="O236" s="248" t="s">
        <v>444</v>
      </c>
      <c r="P236" s="136">
        <v>31.89</v>
      </c>
      <c r="Q236" s="250">
        <f t="shared" si="42"/>
        <v>4.0117416829745567E-2</v>
      </c>
      <c r="R236" s="251"/>
      <c r="S236" s="248" t="s">
        <v>444</v>
      </c>
      <c r="T236" s="136">
        <v>41.41</v>
      </c>
      <c r="U236" s="250">
        <f t="shared" si="43"/>
        <v>-4.8274197441477984E-4</v>
      </c>
      <c r="V236" s="251"/>
      <c r="W236" s="248" t="s">
        <v>444</v>
      </c>
      <c r="X236" s="136">
        <v>55.59</v>
      </c>
      <c r="Y236" s="250">
        <f t="shared" si="44"/>
        <v>-1.8364824298075177E-2</v>
      </c>
      <c r="Z236" s="251"/>
      <c r="AA236" s="248" t="s">
        <v>444</v>
      </c>
      <c r="AB236" s="136">
        <v>31.48</v>
      </c>
      <c r="AC236" s="250">
        <f t="shared" si="45"/>
        <v>3.8601121741999478E-2</v>
      </c>
      <c r="AD236" s="251"/>
      <c r="AE236" s="248" t="s">
        <v>444</v>
      </c>
      <c r="AF236" s="136">
        <v>55.25</v>
      </c>
      <c r="AG236" s="250">
        <f t="shared" si="46"/>
        <v>3.6330608537693543E-3</v>
      </c>
      <c r="AH236" s="251"/>
      <c r="AI236" s="248" t="s">
        <v>444</v>
      </c>
      <c r="AJ236" s="136">
        <v>137.13</v>
      </c>
      <c r="AK236" s="250">
        <f t="shared" si="47"/>
        <v>-8.6032388663966897E-3</v>
      </c>
      <c r="AL236" s="251"/>
      <c r="AM236" s="248" t="s">
        <v>444</v>
      </c>
      <c r="AN236" s="136">
        <v>40.69</v>
      </c>
      <c r="AO236" s="250">
        <f t="shared" si="48"/>
        <v>-3.7150970184571697E-2</v>
      </c>
      <c r="AP236" s="251"/>
      <c r="AQ236" s="248" t="s">
        <v>444</v>
      </c>
      <c r="AR236" s="136">
        <v>183.73</v>
      </c>
      <c r="AS236" s="250">
        <f t="shared" si="49"/>
        <v>-2.0785588658530085E-2</v>
      </c>
      <c r="AT236" s="251"/>
      <c r="AU236" s="248" t="s">
        <v>444</v>
      </c>
      <c r="AV236" s="136">
        <v>53.77</v>
      </c>
      <c r="AW236" s="250">
        <f t="shared" si="50"/>
        <v>6.7403108032204617E-3</v>
      </c>
      <c r="AX236" s="251"/>
      <c r="AY236" s="248" t="s">
        <v>444</v>
      </c>
      <c r="AZ236" s="252">
        <v>2950.46</v>
      </c>
      <c r="BA236" s="250">
        <f t="shared" si="51"/>
        <v>2.1988375395742166E-2</v>
      </c>
    </row>
    <row r="237" spans="3:53" ht="14.25" customHeight="1" x14ac:dyDescent="0.35">
      <c r="C237" s="253">
        <v>43714</v>
      </c>
      <c r="D237" s="249">
        <v>132.72999999999999</v>
      </c>
      <c r="E237" s="250">
        <f t="shared" si="39"/>
        <v>-5.5443170749981396E-3</v>
      </c>
      <c r="G237" s="253">
        <v>43714</v>
      </c>
      <c r="H237" s="136">
        <v>51.31</v>
      </c>
      <c r="I237" s="250">
        <f t="shared" si="40"/>
        <v>-3.4958244319285292E-3</v>
      </c>
      <c r="K237" s="253">
        <v>43714</v>
      </c>
      <c r="L237" s="136">
        <v>28.63</v>
      </c>
      <c r="M237" s="250">
        <f t="shared" si="41"/>
        <v>1.0232886379675232E-2</v>
      </c>
      <c r="O237" s="253">
        <v>43714</v>
      </c>
      <c r="P237" s="136">
        <v>30.66</v>
      </c>
      <c r="Q237" s="250">
        <f t="shared" si="42"/>
        <v>-6.9781553398058249E-2</v>
      </c>
      <c r="R237" s="251"/>
      <c r="S237" s="253">
        <v>43714</v>
      </c>
      <c r="T237" s="136">
        <v>41.43</v>
      </c>
      <c r="U237" s="250">
        <f t="shared" si="43"/>
        <v>-1.4744351961950009E-2</v>
      </c>
      <c r="V237" s="251"/>
      <c r="W237" s="253">
        <v>43714</v>
      </c>
      <c r="X237" s="136">
        <v>56.63</v>
      </c>
      <c r="Y237" s="250">
        <f t="shared" si="44"/>
        <v>1.1430612609394597E-2</v>
      </c>
      <c r="Z237" s="251"/>
      <c r="AA237" s="253">
        <v>43714</v>
      </c>
      <c r="AB237" s="136">
        <v>30.31</v>
      </c>
      <c r="AC237" s="250">
        <f t="shared" si="45"/>
        <v>5.4627696590118235E-2</v>
      </c>
      <c r="AD237" s="251"/>
      <c r="AE237" s="253">
        <v>43714</v>
      </c>
      <c r="AF237" s="136">
        <v>55.05</v>
      </c>
      <c r="AG237" s="250">
        <f t="shared" si="46"/>
        <v>1.9067012217697021E-2</v>
      </c>
      <c r="AH237" s="251"/>
      <c r="AI237" s="253">
        <v>43714</v>
      </c>
      <c r="AJ237" s="136">
        <v>138.32</v>
      </c>
      <c r="AK237" s="250">
        <f t="shared" si="47"/>
        <v>2.2462140424606147E-3</v>
      </c>
      <c r="AL237" s="251"/>
      <c r="AM237" s="253">
        <v>43714</v>
      </c>
      <c r="AN237" s="136">
        <v>42.26</v>
      </c>
      <c r="AO237" s="250">
        <f t="shared" si="48"/>
        <v>-1.9034354688950761E-2</v>
      </c>
      <c r="AP237" s="251"/>
      <c r="AQ237" s="253">
        <v>43714</v>
      </c>
      <c r="AR237" s="136">
        <v>187.63</v>
      </c>
      <c r="AS237" s="250">
        <f t="shared" si="49"/>
        <v>-4.0870488322718446E-3</v>
      </c>
      <c r="AT237" s="251"/>
      <c r="AU237" s="253">
        <v>43714</v>
      </c>
      <c r="AV237" s="136">
        <v>53.41</v>
      </c>
      <c r="AW237" s="250">
        <f t="shared" si="50"/>
        <v>3.0882069098629561E-2</v>
      </c>
      <c r="AX237" s="251"/>
      <c r="AY237" s="253">
        <v>43714</v>
      </c>
      <c r="AZ237" s="252">
        <v>2886.98</v>
      </c>
      <c r="BA237" s="250">
        <f t="shared" si="51"/>
        <v>4.7470887538543227E-3</v>
      </c>
    </row>
    <row r="238" spans="3:53" ht="14.25" customHeight="1" x14ac:dyDescent="0.35">
      <c r="C238" s="253">
        <v>43502</v>
      </c>
      <c r="D238" s="249">
        <v>133.47</v>
      </c>
      <c r="E238" s="250">
        <f t="shared" si="39"/>
        <v>4.2734374999999991E-2</v>
      </c>
      <c r="G238" s="253">
        <v>43502</v>
      </c>
      <c r="H238" s="136">
        <v>51.49</v>
      </c>
      <c r="I238" s="250">
        <f t="shared" si="40"/>
        <v>4.8035823325870197E-2</v>
      </c>
      <c r="K238" s="253">
        <v>43502</v>
      </c>
      <c r="L238" s="136">
        <v>28.34</v>
      </c>
      <c r="M238" s="250">
        <f t="shared" si="41"/>
        <v>5.3210358283077852E-3</v>
      </c>
      <c r="O238" s="253">
        <v>43502</v>
      </c>
      <c r="P238" s="136">
        <v>32.96</v>
      </c>
      <c r="Q238" s="250">
        <f t="shared" si="42"/>
        <v>6.5632072421597298E-2</v>
      </c>
      <c r="R238" s="251"/>
      <c r="S238" s="253">
        <v>43502</v>
      </c>
      <c r="T238" s="136">
        <v>42.05</v>
      </c>
      <c r="U238" s="250">
        <f t="shared" si="43"/>
        <v>6.482653836414265E-2</v>
      </c>
      <c r="V238" s="251"/>
      <c r="W238" s="253">
        <v>43502</v>
      </c>
      <c r="X238" s="136">
        <v>55.99</v>
      </c>
      <c r="Y238" s="250">
        <f t="shared" si="44"/>
        <v>6.5258751902587564E-2</v>
      </c>
      <c r="Z238" s="251"/>
      <c r="AA238" s="253">
        <v>43502</v>
      </c>
      <c r="AB238" s="136">
        <v>28.74</v>
      </c>
      <c r="AC238" s="250">
        <f t="shared" si="45"/>
        <v>3.9421338155515295E-2</v>
      </c>
      <c r="AD238" s="251"/>
      <c r="AE238" s="253">
        <v>43502</v>
      </c>
      <c r="AF238" s="136">
        <v>54.02</v>
      </c>
      <c r="AG238" s="250">
        <f t="shared" si="46"/>
        <v>6.2340216322517295E-2</v>
      </c>
      <c r="AH238" s="251"/>
      <c r="AI238" s="253">
        <v>43502</v>
      </c>
      <c r="AJ238" s="136">
        <v>138.01</v>
      </c>
      <c r="AK238" s="250">
        <f t="shared" si="47"/>
        <v>4.5847226432252031E-2</v>
      </c>
      <c r="AL238" s="251"/>
      <c r="AM238" s="253">
        <v>43502</v>
      </c>
      <c r="AN238" s="136">
        <v>43.08</v>
      </c>
      <c r="AO238" s="250">
        <f t="shared" si="48"/>
        <v>0.18645001377031112</v>
      </c>
      <c r="AP238" s="251"/>
      <c r="AQ238" s="253">
        <v>43502</v>
      </c>
      <c r="AR238" s="136">
        <v>188.4</v>
      </c>
      <c r="AS238" s="250">
        <f t="shared" si="49"/>
        <v>6.7724567866251251E-2</v>
      </c>
      <c r="AT238" s="251"/>
      <c r="AU238" s="253">
        <v>43502</v>
      </c>
      <c r="AV238" s="136">
        <v>51.81</v>
      </c>
      <c r="AW238" s="250">
        <f t="shared" si="50"/>
        <v>4.7936893203883502E-2</v>
      </c>
      <c r="AX238" s="251"/>
      <c r="AY238" s="253">
        <v>43502</v>
      </c>
      <c r="AZ238" s="252">
        <v>2873.34</v>
      </c>
      <c r="BA238" s="250">
        <f t="shared" si="51"/>
        <v>4.4068806639390168E-2</v>
      </c>
    </row>
    <row r="239" spans="3:53" ht="14.25" customHeight="1" x14ac:dyDescent="0.35">
      <c r="C239" s="248" t="s">
        <v>445</v>
      </c>
      <c r="D239" s="249">
        <v>128</v>
      </c>
      <c r="E239" s="250">
        <f t="shared" si="39"/>
        <v>-1.158301158301156E-2</v>
      </c>
      <c r="G239" s="248" t="s">
        <v>445</v>
      </c>
      <c r="H239" s="136">
        <v>49.13</v>
      </c>
      <c r="I239" s="250">
        <f t="shared" si="40"/>
        <v>-9.6754686555129421E-3</v>
      </c>
      <c r="K239" s="248" t="s">
        <v>445</v>
      </c>
      <c r="L239" s="136">
        <v>28.19</v>
      </c>
      <c r="M239" s="250">
        <f t="shared" si="41"/>
        <v>-3.491954809996578E-2</v>
      </c>
      <c r="O239" s="248" t="s">
        <v>445</v>
      </c>
      <c r="P239" s="136">
        <v>30.93</v>
      </c>
      <c r="Q239" s="250">
        <f t="shared" si="42"/>
        <v>-2.4597918637653815E-2</v>
      </c>
      <c r="R239" s="251"/>
      <c r="S239" s="248" t="s">
        <v>445</v>
      </c>
      <c r="T239" s="136">
        <v>39.49</v>
      </c>
      <c r="U239" s="250">
        <f t="shared" si="43"/>
        <v>-1.9369257511795412E-2</v>
      </c>
      <c r="V239" s="251"/>
      <c r="W239" s="248" t="s">
        <v>445</v>
      </c>
      <c r="X239" s="136">
        <v>52.56</v>
      </c>
      <c r="Y239" s="250">
        <f t="shared" si="44"/>
        <v>-7.0721357850070721E-2</v>
      </c>
      <c r="Z239" s="251"/>
      <c r="AA239" s="248" t="s">
        <v>445</v>
      </c>
      <c r="AB239" s="136">
        <v>27.65</v>
      </c>
      <c r="AC239" s="250">
        <f t="shared" si="45"/>
        <v>-0.11121825779492123</v>
      </c>
      <c r="AD239" s="251"/>
      <c r="AE239" s="248" t="s">
        <v>445</v>
      </c>
      <c r="AF239" s="136">
        <v>50.85</v>
      </c>
      <c r="AG239" s="250">
        <f t="shared" si="46"/>
        <v>-2.4553999616343747E-2</v>
      </c>
      <c r="AH239" s="251"/>
      <c r="AI239" s="248" t="s">
        <v>445</v>
      </c>
      <c r="AJ239" s="136">
        <v>131.96</v>
      </c>
      <c r="AK239" s="250">
        <f t="shared" si="47"/>
        <v>1.3595514248406326E-2</v>
      </c>
      <c r="AL239" s="251"/>
      <c r="AM239" s="248" t="s">
        <v>445</v>
      </c>
      <c r="AN239" s="136">
        <v>36.31</v>
      </c>
      <c r="AO239" s="250">
        <f t="shared" si="48"/>
        <v>-3.2507327471356207E-2</v>
      </c>
      <c r="AP239" s="251"/>
      <c r="AQ239" s="248" t="s">
        <v>445</v>
      </c>
      <c r="AR239" s="136">
        <v>176.45</v>
      </c>
      <c r="AS239" s="250">
        <f t="shared" si="49"/>
        <v>-0.11188846386148588</v>
      </c>
      <c r="AT239" s="251"/>
      <c r="AU239" s="248" t="s">
        <v>445</v>
      </c>
      <c r="AV239" s="136">
        <v>49.44</v>
      </c>
      <c r="AW239" s="250">
        <f t="shared" si="50"/>
        <v>-6.3813671653096038E-2</v>
      </c>
      <c r="AX239" s="251"/>
      <c r="AY239" s="248" t="s">
        <v>445</v>
      </c>
      <c r="AZ239" s="252">
        <v>2752.06</v>
      </c>
      <c r="BA239" s="250">
        <f t="shared" si="51"/>
        <v>-2.6184865147944492E-2</v>
      </c>
    </row>
    <row r="240" spans="3:53" ht="14.25" customHeight="1" x14ac:dyDescent="0.35">
      <c r="C240" s="248" t="s">
        <v>446</v>
      </c>
      <c r="D240" s="249">
        <v>129.5</v>
      </c>
      <c r="E240" s="250">
        <f t="shared" si="39"/>
        <v>-7.7388705846294092E-3</v>
      </c>
      <c r="G240" s="248" t="s">
        <v>446</v>
      </c>
      <c r="H240" s="136">
        <v>49.61</v>
      </c>
      <c r="I240" s="250">
        <f t="shared" si="40"/>
        <v>8.3333333333333037E-3</v>
      </c>
      <c r="K240" s="248" t="s">
        <v>446</v>
      </c>
      <c r="L240" s="136">
        <v>29.21</v>
      </c>
      <c r="M240" s="250">
        <f t="shared" si="41"/>
        <v>-1.7088174982912152E-3</v>
      </c>
      <c r="O240" s="248" t="s">
        <v>446</v>
      </c>
      <c r="P240" s="136">
        <v>31.71</v>
      </c>
      <c r="Q240" s="250">
        <f t="shared" si="42"/>
        <v>-3.4569453174103648E-3</v>
      </c>
      <c r="R240" s="251"/>
      <c r="S240" s="248" t="s">
        <v>446</v>
      </c>
      <c r="T240" s="136">
        <v>40.270000000000003</v>
      </c>
      <c r="U240" s="250">
        <f t="shared" si="43"/>
        <v>1.2063332495602097E-2</v>
      </c>
      <c r="V240" s="251"/>
      <c r="W240" s="248" t="s">
        <v>446</v>
      </c>
      <c r="X240" s="136">
        <v>56.56</v>
      </c>
      <c r="Y240" s="250">
        <f t="shared" si="44"/>
        <v>-8.0673447913013341E-3</v>
      </c>
      <c r="Z240" s="251"/>
      <c r="AA240" s="248" t="s">
        <v>446</v>
      </c>
      <c r="AB240" s="136">
        <v>31.11</v>
      </c>
      <c r="AC240" s="250">
        <f t="shared" si="45"/>
        <v>-4.365201352597603E-2</v>
      </c>
      <c r="AD240" s="251"/>
      <c r="AE240" s="248" t="s">
        <v>446</v>
      </c>
      <c r="AF240" s="136">
        <v>52.13</v>
      </c>
      <c r="AG240" s="250">
        <f t="shared" si="46"/>
        <v>-1.9146084625693005E-3</v>
      </c>
      <c r="AH240" s="251"/>
      <c r="AI240" s="248" t="s">
        <v>446</v>
      </c>
      <c r="AJ240" s="136">
        <v>130.19</v>
      </c>
      <c r="AK240" s="250">
        <f t="shared" si="47"/>
        <v>1.0007757951900675E-2</v>
      </c>
      <c r="AL240" s="251"/>
      <c r="AM240" s="248" t="s">
        <v>446</v>
      </c>
      <c r="AN240" s="136">
        <v>37.53</v>
      </c>
      <c r="AO240" s="250">
        <f t="shared" si="48"/>
        <v>-4.0889343214924656E-2</v>
      </c>
      <c r="AP240" s="251"/>
      <c r="AQ240" s="248" t="s">
        <v>446</v>
      </c>
      <c r="AR240" s="136">
        <v>198.68</v>
      </c>
      <c r="AS240" s="250">
        <f t="shared" si="49"/>
        <v>-2.9835441183651445E-2</v>
      </c>
      <c r="AT240" s="251"/>
      <c r="AU240" s="248" t="s">
        <v>446</v>
      </c>
      <c r="AV240" s="136">
        <v>52.81</v>
      </c>
      <c r="AW240" s="250">
        <f t="shared" si="50"/>
        <v>7.8244274809160519E-3</v>
      </c>
      <c r="AX240" s="251"/>
      <c r="AY240" s="248" t="s">
        <v>446</v>
      </c>
      <c r="AZ240" s="252">
        <v>2826.06</v>
      </c>
      <c r="BA240" s="250">
        <f t="shared" si="51"/>
        <v>-1.170472070585038E-2</v>
      </c>
    </row>
    <row r="241" spans="3:53" ht="14.25" customHeight="1" x14ac:dyDescent="0.35">
      <c r="C241" s="253">
        <v>43804</v>
      </c>
      <c r="D241" s="249">
        <v>130.51</v>
      </c>
      <c r="E241" s="250">
        <f t="shared" si="39"/>
        <v>1.9529724240293644E-2</v>
      </c>
      <c r="G241" s="253">
        <v>43804</v>
      </c>
      <c r="H241" s="136">
        <v>49.2</v>
      </c>
      <c r="I241" s="250">
        <f t="shared" si="40"/>
        <v>2.0958705125544874E-2</v>
      </c>
      <c r="K241" s="253">
        <v>43804</v>
      </c>
      <c r="L241" s="136">
        <v>29.26</v>
      </c>
      <c r="M241" s="250">
        <f t="shared" si="41"/>
        <v>-5.1003060183610893E-3</v>
      </c>
      <c r="O241" s="253">
        <v>43804</v>
      </c>
      <c r="P241" s="136">
        <v>31.82</v>
      </c>
      <c r="Q241" s="250">
        <f t="shared" si="42"/>
        <v>1.0158730158730256E-2</v>
      </c>
      <c r="R241" s="251"/>
      <c r="S241" s="253">
        <v>43804</v>
      </c>
      <c r="T241" s="136">
        <v>39.79</v>
      </c>
      <c r="U241" s="250">
        <f t="shared" si="43"/>
        <v>-1.7561465127947651E-3</v>
      </c>
      <c r="V241" s="251"/>
      <c r="W241" s="253">
        <v>43804</v>
      </c>
      <c r="X241" s="136">
        <v>57.02</v>
      </c>
      <c r="Y241" s="250">
        <f t="shared" si="44"/>
        <v>-2.7626193724420101E-2</v>
      </c>
      <c r="Z241" s="251"/>
      <c r="AA241" s="253">
        <v>43804</v>
      </c>
      <c r="AB241" s="136">
        <v>32.53</v>
      </c>
      <c r="AC241" s="250">
        <f t="shared" si="45"/>
        <v>-3.6753445635527848E-3</v>
      </c>
      <c r="AD241" s="251"/>
      <c r="AE241" s="253">
        <v>43804</v>
      </c>
      <c r="AF241" s="136">
        <v>52.23</v>
      </c>
      <c r="AG241" s="250">
        <f t="shared" si="46"/>
        <v>6.9404279930596058E-3</v>
      </c>
      <c r="AH241" s="251"/>
      <c r="AI241" s="253">
        <v>43804</v>
      </c>
      <c r="AJ241" s="136">
        <v>128.9</v>
      </c>
      <c r="AK241" s="250">
        <f t="shared" si="47"/>
        <v>1.5920554854981228E-2</v>
      </c>
      <c r="AL241" s="251"/>
      <c r="AM241" s="253">
        <v>43804</v>
      </c>
      <c r="AN241" s="136">
        <v>39.130000000000003</v>
      </c>
      <c r="AO241" s="250">
        <f t="shared" si="48"/>
        <v>1.0067114093959662E-2</v>
      </c>
      <c r="AP241" s="251"/>
      <c r="AQ241" s="253">
        <v>43804</v>
      </c>
      <c r="AR241" s="136">
        <v>204.79</v>
      </c>
      <c r="AS241" s="250">
        <f t="shared" si="49"/>
        <v>7.6760320818776151E-3</v>
      </c>
      <c r="AT241" s="251"/>
      <c r="AU241" s="253">
        <v>43804</v>
      </c>
      <c r="AV241" s="136">
        <v>52.4</v>
      </c>
      <c r="AW241" s="250">
        <f t="shared" si="50"/>
        <v>1.668606907256498E-2</v>
      </c>
      <c r="AX241" s="251"/>
      <c r="AY241" s="253">
        <v>43804</v>
      </c>
      <c r="AZ241" s="252">
        <v>2859.53</v>
      </c>
      <c r="BA241" s="250">
        <f t="shared" si="51"/>
        <v>-7.5900603873116923E-3</v>
      </c>
    </row>
    <row r="242" spans="3:53" ht="14.25" customHeight="1" x14ac:dyDescent="0.35">
      <c r="C242" s="253">
        <v>43590</v>
      </c>
      <c r="D242" s="249">
        <v>128.01</v>
      </c>
      <c r="E242" s="250">
        <f t="shared" si="39"/>
        <v>2.6631158455392434E-3</v>
      </c>
      <c r="G242" s="253">
        <v>43590</v>
      </c>
      <c r="H242" s="136">
        <v>48.19</v>
      </c>
      <c r="I242" s="250">
        <f t="shared" si="40"/>
        <v>-1.0878489326765162E-2</v>
      </c>
      <c r="K242" s="253">
        <v>43590</v>
      </c>
      <c r="L242" s="136">
        <v>29.41</v>
      </c>
      <c r="M242" s="250">
        <f t="shared" si="41"/>
        <v>1.2392426850258209E-2</v>
      </c>
      <c r="O242" s="253">
        <v>43590</v>
      </c>
      <c r="P242" s="136">
        <v>31.5</v>
      </c>
      <c r="Q242" s="250">
        <f t="shared" si="42"/>
        <v>-1.5847860538827918E-3</v>
      </c>
      <c r="R242" s="251"/>
      <c r="S242" s="253">
        <v>43590</v>
      </c>
      <c r="T242" s="136">
        <v>39.86</v>
      </c>
      <c r="U242" s="250">
        <f t="shared" si="43"/>
        <v>4.5362903225807383E-3</v>
      </c>
      <c r="V242" s="251"/>
      <c r="W242" s="253">
        <v>43590</v>
      </c>
      <c r="X242" s="136">
        <v>58.64</v>
      </c>
      <c r="Y242" s="250">
        <f t="shared" si="44"/>
        <v>3.8427483619621006E-2</v>
      </c>
      <c r="Z242" s="251"/>
      <c r="AA242" s="253">
        <v>43590</v>
      </c>
      <c r="AB242" s="136">
        <v>32.65</v>
      </c>
      <c r="AC242" s="250">
        <f t="shared" si="45"/>
        <v>2.1485573971762317E-3</v>
      </c>
      <c r="AD242" s="251"/>
      <c r="AE242" s="253">
        <v>43590</v>
      </c>
      <c r="AF242" s="136">
        <v>51.87</v>
      </c>
      <c r="AG242" s="250">
        <f t="shared" si="46"/>
        <v>2.1251931993817585E-3</v>
      </c>
      <c r="AH242" s="251"/>
      <c r="AI242" s="253">
        <v>43590</v>
      </c>
      <c r="AJ242" s="136">
        <v>126.88</v>
      </c>
      <c r="AK242" s="250">
        <f t="shared" si="47"/>
        <v>4.1451202495280226E-2</v>
      </c>
      <c r="AL242" s="251"/>
      <c r="AM242" s="253">
        <v>43590</v>
      </c>
      <c r="AN242" s="136">
        <v>38.74</v>
      </c>
      <c r="AO242" s="250">
        <f t="shared" si="48"/>
        <v>1.228116017768488E-2</v>
      </c>
      <c r="AP242" s="251"/>
      <c r="AQ242" s="253">
        <v>43590</v>
      </c>
      <c r="AR242" s="136">
        <v>203.23</v>
      </c>
      <c r="AS242" s="250">
        <f t="shared" si="49"/>
        <v>-3.8647114474929078E-2</v>
      </c>
      <c r="AT242" s="251"/>
      <c r="AU242" s="253">
        <v>43590</v>
      </c>
      <c r="AV242" s="136">
        <v>51.54</v>
      </c>
      <c r="AW242" s="250">
        <f t="shared" si="50"/>
        <v>7.0339976553341899E-3</v>
      </c>
      <c r="AX242" s="251"/>
      <c r="AY242" s="253">
        <v>43590</v>
      </c>
      <c r="AZ242" s="252">
        <v>2881.4</v>
      </c>
      <c r="BA242" s="250">
        <f t="shared" si="51"/>
        <v>-2.1808503415217007E-2</v>
      </c>
    </row>
    <row r="243" spans="3:53" ht="14.25" customHeight="1" x14ac:dyDescent="0.35">
      <c r="C243" s="248" t="s">
        <v>447</v>
      </c>
      <c r="D243" s="249">
        <v>127.67</v>
      </c>
      <c r="E243" s="250">
        <f t="shared" si="39"/>
        <v>1.0047468354430267E-2</v>
      </c>
      <c r="G243" s="248" t="s">
        <v>447</v>
      </c>
      <c r="H243" s="136">
        <v>48.72</v>
      </c>
      <c r="I243" s="250">
        <f t="shared" si="40"/>
        <v>9.5317032739328234E-3</v>
      </c>
      <c r="K243" s="248" t="s">
        <v>447</v>
      </c>
      <c r="L243" s="136">
        <v>29.05</v>
      </c>
      <c r="M243" s="250">
        <f t="shared" si="41"/>
        <v>1.822642832106558E-2</v>
      </c>
      <c r="O243" s="248" t="s">
        <v>447</v>
      </c>
      <c r="P243" s="136">
        <v>31.55</v>
      </c>
      <c r="Q243" s="250">
        <f t="shared" si="42"/>
        <v>5.8014755197853818E-2</v>
      </c>
      <c r="R243" s="251"/>
      <c r="S243" s="248" t="s">
        <v>447</v>
      </c>
      <c r="T243" s="136">
        <v>39.68</v>
      </c>
      <c r="U243" s="250">
        <f t="shared" si="43"/>
        <v>-6.5097646469703951E-3</v>
      </c>
      <c r="V243" s="251"/>
      <c r="W243" s="248" t="s">
        <v>447</v>
      </c>
      <c r="X243" s="136">
        <v>56.47</v>
      </c>
      <c r="Y243" s="250">
        <f t="shared" si="44"/>
        <v>-4.932659932659933E-2</v>
      </c>
      <c r="Z243" s="251"/>
      <c r="AA243" s="248" t="s">
        <v>447</v>
      </c>
      <c r="AB243" s="136">
        <v>32.58</v>
      </c>
      <c r="AC243" s="250">
        <f t="shared" si="45"/>
        <v>-1.4519056261343088E-2</v>
      </c>
      <c r="AD243" s="251"/>
      <c r="AE243" s="248" t="s">
        <v>447</v>
      </c>
      <c r="AF243" s="136">
        <v>51.76</v>
      </c>
      <c r="AG243" s="250">
        <f t="shared" si="46"/>
        <v>2.9230463312785782E-2</v>
      </c>
      <c r="AH243" s="251"/>
      <c r="AI243" s="248" t="s">
        <v>447</v>
      </c>
      <c r="AJ243" s="136">
        <v>121.83</v>
      </c>
      <c r="AK243" s="250">
        <f t="shared" si="47"/>
        <v>-2.6683710154190354E-2</v>
      </c>
      <c r="AL243" s="251"/>
      <c r="AM243" s="248" t="s">
        <v>447</v>
      </c>
      <c r="AN243" s="136">
        <v>38.270000000000003</v>
      </c>
      <c r="AO243" s="250">
        <f t="shared" si="48"/>
        <v>-9.5755693581779378E-3</v>
      </c>
      <c r="AP243" s="251"/>
      <c r="AQ243" s="248" t="s">
        <v>447</v>
      </c>
      <c r="AR243" s="136">
        <v>211.4</v>
      </c>
      <c r="AS243" s="250">
        <f t="shared" si="49"/>
        <v>-3.5822021116138636E-3</v>
      </c>
      <c r="AT243" s="251"/>
      <c r="AU243" s="248" t="s">
        <v>447</v>
      </c>
      <c r="AV243" s="136">
        <v>51.18</v>
      </c>
      <c r="AW243" s="250">
        <f t="shared" si="50"/>
        <v>1.7615971814444187E-3</v>
      </c>
      <c r="AX243" s="251"/>
      <c r="AY243" s="248" t="s">
        <v>447</v>
      </c>
      <c r="AZ243" s="252">
        <v>2945.64</v>
      </c>
      <c r="BA243" s="250">
        <f t="shared" si="51"/>
        <v>1.9592636434140331E-3</v>
      </c>
    </row>
    <row r="244" spans="3:53" ht="14.25" customHeight="1" x14ac:dyDescent="0.35">
      <c r="C244" s="248" t="s">
        <v>448</v>
      </c>
      <c r="D244" s="249">
        <v>126.4</v>
      </c>
      <c r="E244" s="250">
        <f t="shared" si="39"/>
        <v>-5.4292233850027349E-3</v>
      </c>
      <c r="G244" s="248" t="s">
        <v>448</v>
      </c>
      <c r="H244" s="136">
        <v>48.26</v>
      </c>
      <c r="I244" s="250">
        <f t="shared" si="40"/>
        <v>1.6427969671440668E-2</v>
      </c>
      <c r="K244" s="248" t="s">
        <v>448</v>
      </c>
      <c r="L244" s="136">
        <v>28.53</v>
      </c>
      <c r="M244" s="250">
        <f t="shared" si="41"/>
        <v>7.2153325817361891E-2</v>
      </c>
      <c r="O244" s="248" t="s">
        <v>448</v>
      </c>
      <c r="P244" s="136">
        <v>29.82</v>
      </c>
      <c r="Q244" s="250">
        <f t="shared" si="42"/>
        <v>8.0434782608695521E-2</v>
      </c>
      <c r="R244" s="251"/>
      <c r="S244" s="248" t="s">
        <v>448</v>
      </c>
      <c r="T244" s="136">
        <v>39.94</v>
      </c>
      <c r="U244" s="250">
        <f t="shared" si="43"/>
        <v>-1.1141371626640306E-2</v>
      </c>
      <c r="V244" s="251"/>
      <c r="W244" s="248" t="s">
        <v>448</v>
      </c>
      <c r="X244" s="136">
        <v>59.4</v>
      </c>
      <c r="Y244" s="250">
        <f t="shared" si="44"/>
        <v>1.6253207869974196E-2</v>
      </c>
      <c r="Z244" s="251"/>
      <c r="AA244" s="248" t="s">
        <v>448</v>
      </c>
      <c r="AB244" s="136">
        <v>33.06</v>
      </c>
      <c r="AC244" s="250">
        <f t="shared" si="45"/>
        <v>3.0339805825243538E-3</v>
      </c>
      <c r="AD244" s="251"/>
      <c r="AE244" s="248" t="s">
        <v>448</v>
      </c>
      <c r="AF244" s="136">
        <v>50.29</v>
      </c>
      <c r="AG244" s="250">
        <f t="shared" si="46"/>
        <v>3.9928129367137188E-3</v>
      </c>
      <c r="AH244" s="251"/>
      <c r="AI244" s="248" t="s">
        <v>448</v>
      </c>
      <c r="AJ244" s="136">
        <v>125.17</v>
      </c>
      <c r="AK244" s="250">
        <f t="shared" si="47"/>
        <v>7.0194938440492516E-2</v>
      </c>
      <c r="AL244" s="251"/>
      <c r="AM244" s="248" t="s">
        <v>448</v>
      </c>
      <c r="AN244" s="136">
        <v>38.64</v>
      </c>
      <c r="AO244" s="250">
        <f t="shared" si="48"/>
        <v>-1.9040365575019091E-2</v>
      </c>
      <c r="AP244" s="251"/>
      <c r="AQ244" s="248" t="s">
        <v>448</v>
      </c>
      <c r="AR244" s="136">
        <v>212.16</v>
      </c>
      <c r="AS244" s="250">
        <f t="shared" si="49"/>
        <v>6.7203219315895346E-2</v>
      </c>
      <c r="AT244" s="251"/>
      <c r="AU244" s="248" t="s">
        <v>448</v>
      </c>
      <c r="AV244" s="136">
        <v>51.09</v>
      </c>
      <c r="AW244" s="250">
        <f t="shared" si="50"/>
        <v>-1.2180974477958184E-2</v>
      </c>
      <c r="AX244" s="251"/>
      <c r="AY244" s="248" t="s">
        <v>448</v>
      </c>
      <c r="AZ244" s="252">
        <v>2939.88</v>
      </c>
      <c r="BA244" s="250">
        <f t="shared" si="51"/>
        <v>1.1996433771768178E-2</v>
      </c>
    </row>
    <row r="245" spans="3:53" ht="14.25" customHeight="1" x14ac:dyDescent="0.35">
      <c r="C245" s="248" t="s">
        <v>449</v>
      </c>
      <c r="D245" s="249">
        <v>127.09</v>
      </c>
      <c r="E245" s="250">
        <f t="shared" si="39"/>
        <v>3.9761106111429356E-2</v>
      </c>
      <c r="G245" s="248" t="s">
        <v>449</v>
      </c>
      <c r="H245" s="136">
        <v>47.48</v>
      </c>
      <c r="I245" s="250">
        <f t="shared" si="40"/>
        <v>1.5832263585793704E-2</v>
      </c>
      <c r="K245" s="248" t="s">
        <v>449</v>
      </c>
      <c r="L245" s="136">
        <v>26.61</v>
      </c>
      <c r="M245" s="250">
        <f t="shared" si="41"/>
        <v>3.772161448510003E-3</v>
      </c>
      <c r="O245" s="248" t="s">
        <v>449</v>
      </c>
      <c r="P245" s="136">
        <v>27.6</v>
      </c>
      <c r="Q245" s="250">
        <f t="shared" si="42"/>
        <v>4.1116559788759055E-2</v>
      </c>
      <c r="R245" s="251"/>
      <c r="S245" s="248" t="s">
        <v>449</v>
      </c>
      <c r="T245" s="136">
        <v>40.39</v>
      </c>
      <c r="U245" s="250">
        <f t="shared" si="43"/>
        <v>-1.8469015795868682E-2</v>
      </c>
      <c r="V245" s="251"/>
      <c r="W245" s="248" t="s">
        <v>449</v>
      </c>
      <c r="X245" s="136">
        <v>58.45</v>
      </c>
      <c r="Y245" s="250">
        <f t="shared" si="44"/>
        <v>1.5285739100225904E-2</v>
      </c>
      <c r="Z245" s="251"/>
      <c r="AA245" s="248" t="s">
        <v>449</v>
      </c>
      <c r="AB245" s="136">
        <v>32.96</v>
      </c>
      <c r="AC245" s="250">
        <f t="shared" si="45"/>
        <v>-3.326277592984539E-3</v>
      </c>
      <c r="AD245" s="251"/>
      <c r="AE245" s="248" t="s">
        <v>449</v>
      </c>
      <c r="AF245" s="136">
        <v>50.09</v>
      </c>
      <c r="AG245" s="250">
        <f t="shared" si="46"/>
        <v>6.025306286403076E-3</v>
      </c>
      <c r="AH245" s="251"/>
      <c r="AI245" s="248" t="s">
        <v>449</v>
      </c>
      <c r="AJ245" s="136">
        <v>116.96</v>
      </c>
      <c r="AK245" s="250">
        <f t="shared" si="47"/>
        <v>7.3206442166910968E-3</v>
      </c>
      <c r="AL245" s="251"/>
      <c r="AM245" s="248" t="s">
        <v>449</v>
      </c>
      <c r="AN245" s="136">
        <v>39.39</v>
      </c>
      <c r="AO245" s="250">
        <f t="shared" si="48"/>
        <v>-1.0550113036925435E-2</v>
      </c>
      <c r="AP245" s="251"/>
      <c r="AQ245" s="248" t="s">
        <v>449</v>
      </c>
      <c r="AR245" s="136">
        <v>198.8</v>
      </c>
      <c r="AS245" s="250">
        <f t="shared" si="49"/>
        <v>4.3405238020259418E-2</v>
      </c>
      <c r="AT245" s="251"/>
      <c r="AU245" s="248" t="s">
        <v>449</v>
      </c>
      <c r="AV245" s="136">
        <v>51.72</v>
      </c>
      <c r="AW245" s="250">
        <f t="shared" si="50"/>
        <v>2.7142303218301578E-3</v>
      </c>
      <c r="AX245" s="251"/>
      <c r="AY245" s="248" t="s">
        <v>449</v>
      </c>
      <c r="AZ245" s="252">
        <v>2905.03</v>
      </c>
      <c r="BA245" s="250">
        <f t="shared" si="51"/>
        <v>-8.1859799615457973E-4</v>
      </c>
    </row>
    <row r="246" spans="3:53" ht="14.25" customHeight="1" x14ac:dyDescent="0.35">
      <c r="C246" s="253">
        <v>43650</v>
      </c>
      <c r="D246" s="249">
        <v>122.23</v>
      </c>
      <c r="E246" s="250">
        <f t="shared" si="39"/>
        <v>5.0156224305213382E-3</v>
      </c>
      <c r="G246" s="253">
        <v>43650</v>
      </c>
      <c r="H246" s="136">
        <v>46.74</v>
      </c>
      <c r="I246" s="250">
        <f t="shared" si="40"/>
        <v>5.8102001291155947E-3</v>
      </c>
      <c r="K246" s="253">
        <v>43650</v>
      </c>
      <c r="L246" s="136">
        <v>26.51</v>
      </c>
      <c r="M246" s="250">
        <f t="shared" si="41"/>
        <v>-2.9293299157817532E-2</v>
      </c>
      <c r="O246" s="253">
        <v>43650</v>
      </c>
      <c r="P246" s="136">
        <v>26.51</v>
      </c>
      <c r="Q246" s="250">
        <f t="shared" si="42"/>
        <v>2.6475037821482861E-3</v>
      </c>
      <c r="R246" s="251"/>
      <c r="S246" s="253">
        <v>43650</v>
      </c>
      <c r="T246" s="136">
        <v>41.15</v>
      </c>
      <c r="U246" s="250">
        <f t="shared" si="43"/>
        <v>-1.8602432625804965E-2</v>
      </c>
      <c r="V246" s="251"/>
      <c r="W246" s="253">
        <v>43650</v>
      </c>
      <c r="X246" s="136">
        <v>57.57</v>
      </c>
      <c r="Y246" s="250">
        <f t="shared" si="44"/>
        <v>1.3556338028169135E-2</v>
      </c>
      <c r="Z246" s="251"/>
      <c r="AA246" s="253">
        <v>43650</v>
      </c>
      <c r="AB246" s="136">
        <v>33.07</v>
      </c>
      <c r="AC246" s="250">
        <f t="shared" si="45"/>
        <v>-3.0147723846849495E-3</v>
      </c>
      <c r="AD246" s="251"/>
      <c r="AE246" s="253">
        <v>43650</v>
      </c>
      <c r="AF246" s="136">
        <v>49.79</v>
      </c>
      <c r="AG246" s="250">
        <f t="shared" si="46"/>
        <v>2.2141706924314608E-3</v>
      </c>
      <c r="AH246" s="251"/>
      <c r="AI246" s="253">
        <v>43650</v>
      </c>
      <c r="AJ246" s="136">
        <v>116.11</v>
      </c>
      <c r="AK246" s="250">
        <f t="shared" si="47"/>
        <v>2.0712867869163709E-3</v>
      </c>
      <c r="AL246" s="251"/>
      <c r="AM246" s="253">
        <v>43650</v>
      </c>
      <c r="AN246" s="136">
        <v>39.81</v>
      </c>
      <c r="AO246" s="250">
        <f t="shared" si="48"/>
        <v>4.051228437009935E-2</v>
      </c>
      <c r="AP246" s="251"/>
      <c r="AQ246" s="253">
        <v>43650</v>
      </c>
      <c r="AR246" s="136">
        <v>190.53</v>
      </c>
      <c r="AS246" s="250">
        <f t="shared" si="49"/>
        <v>-1.4330056906363242E-2</v>
      </c>
      <c r="AT246" s="251"/>
      <c r="AU246" s="253">
        <v>43650</v>
      </c>
      <c r="AV246" s="136">
        <v>51.58</v>
      </c>
      <c r="AW246" s="250">
        <f t="shared" si="50"/>
        <v>1.3757861635220081E-2</v>
      </c>
      <c r="AX246" s="251"/>
      <c r="AY246" s="253">
        <v>43650</v>
      </c>
      <c r="AZ246" s="252">
        <v>2907.41</v>
      </c>
      <c r="BA246" s="250">
        <f t="shared" si="51"/>
        <v>5.0713164681237544E-3</v>
      </c>
    </row>
    <row r="247" spans="3:53" ht="14.25" customHeight="1" x14ac:dyDescent="0.35">
      <c r="C247" s="248" t="s">
        <v>450</v>
      </c>
      <c r="D247" s="249">
        <v>121.62</v>
      </c>
      <c r="E247" s="250">
        <f t="shared" si="39"/>
        <v>-7.5887392900856332E-3</v>
      </c>
      <c r="G247" s="248" t="s">
        <v>450</v>
      </c>
      <c r="H247" s="136">
        <v>46.47</v>
      </c>
      <c r="I247" s="250">
        <f t="shared" si="40"/>
        <v>-8.3226632522407362E-3</v>
      </c>
      <c r="K247" s="248" t="s">
        <v>450</v>
      </c>
      <c r="L247" s="136">
        <v>27.31</v>
      </c>
      <c r="M247" s="250">
        <f t="shared" si="41"/>
        <v>-2.3596710761530248E-2</v>
      </c>
      <c r="O247" s="248" t="s">
        <v>450</v>
      </c>
      <c r="P247" s="136">
        <v>26.44</v>
      </c>
      <c r="Q247" s="250">
        <f t="shared" si="42"/>
        <v>-3.1146940271161494E-2</v>
      </c>
      <c r="R247" s="251"/>
      <c r="S247" s="248" t="s">
        <v>450</v>
      </c>
      <c r="T247" s="136">
        <v>41.93</v>
      </c>
      <c r="U247" s="250">
        <f t="shared" si="43"/>
        <v>-6.3226094727435123E-2</v>
      </c>
      <c r="V247" s="251"/>
      <c r="W247" s="248" t="s">
        <v>450</v>
      </c>
      <c r="X247" s="136">
        <v>56.8</v>
      </c>
      <c r="Y247" s="250">
        <f t="shared" si="44"/>
        <v>-1.0108051585918543E-2</v>
      </c>
      <c r="Z247" s="251"/>
      <c r="AA247" s="248" t="s">
        <v>450</v>
      </c>
      <c r="AB247" s="136">
        <v>33.17</v>
      </c>
      <c r="AC247" s="250">
        <f t="shared" si="45"/>
        <v>1.5926493108729067E-2</v>
      </c>
      <c r="AD247" s="251"/>
      <c r="AE247" s="248" t="s">
        <v>450</v>
      </c>
      <c r="AF247" s="136">
        <v>49.68</v>
      </c>
      <c r="AG247" s="250">
        <f t="shared" si="46"/>
        <v>-4.8076923076924016E-3</v>
      </c>
      <c r="AH247" s="251"/>
      <c r="AI247" s="248" t="s">
        <v>450</v>
      </c>
      <c r="AJ247" s="136">
        <v>115.87</v>
      </c>
      <c r="AK247" s="250">
        <f t="shared" si="47"/>
        <v>9.0568666724724078E-3</v>
      </c>
      <c r="AL247" s="251"/>
      <c r="AM247" s="248" t="s">
        <v>450</v>
      </c>
      <c r="AN247" s="136">
        <v>38.26</v>
      </c>
      <c r="AO247" s="250">
        <f t="shared" si="48"/>
        <v>3.4093889325987892E-3</v>
      </c>
      <c r="AP247" s="251"/>
      <c r="AQ247" s="248" t="s">
        <v>450</v>
      </c>
      <c r="AR247" s="136">
        <v>193.3</v>
      </c>
      <c r="AS247" s="250">
        <f t="shared" si="49"/>
        <v>0.10249244282210679</v>
      </c>
      <c r="AT247" s="251"/>
      <c r="AU247" s="248" t="s">
        <v>450</v>
      </c>
      <c r="AV247" s="136">
        <v>50.88</v>
      </c>
      <c r="AW247" s="250">
        <f t="shared" si="50"/>
        <v>-1.6811594202898461E-2</v>
      </c>
      <c r="AX247" s="251"/>
      <c r="AY247" s="248" t="s">
        <v>450</v>
      </c>
      <c r="AZ247" s="252">
        <v>2892.74</v>
      </c>
      <c r="BA247" s="250">
        <f t="shared" si="51"/>
        <v>2.0582839401636965E-2</v>
      </c>
    </row>
    <row r="248" spans="3:53" ht="14.25" customHeight="1" x14ac:dyDescent="0.35">
      <c r="C248" s="248" t="s">
        <v>451</v>
      </c>
      <c r="D248" s="249">
        <v>122.55</v>
      </c>
      <c r="E248" s="250">
        <f t="shared" si="39"/>
        <v>1.5159045725646081E-2</v>
      </c>
      <c r="G248" s="248" t="s">
        <v>451</v>
      </c>
      <c r="H248" s="136">
        <v>46.86</v>
      </c>
      <c r="I248" s="250">
        <f t="shared" si="40"/>
        <v>2.0248203788373553E-2</v>
      </c>
      <c r="K248" s="248" t="s">
        <v>451</v>
      </c>
      <c r="L248" s="136">
        <v>27.97</v>
      </c>
      <c r="M248" s="250">
        <f t="shared" si="41"/>
        <v>9.3828942619991196E-3</v>
      </c>
      <c r="O248" s="248" t="s">
        <v>451</v>
      </c>
      <c r="P248" s="136">
        <v>27.29</v>
      </c>
      <c r="Q248" s="250">
        <f t="shared" si="42"/>
        <v>2.0186915887850487E-2</v>
      </c>
      <c r="R248" s="251"/>
      <c r="S248" s="248" t="s">
        <v>451</v>
      </c>
      <c r="T248" s="136">
        <v>44.76</v>
      </c>
      <c r="U248" s="250">
        <f t="shared" si="43"/>
        <v>2.6841018582243414E-2</v>
      </c>
      <c r="V248" s="251"/>
      <c r="W248" s="248" t="s">
        <v>451</v>
      </c>
      <c r="X248" s="136">
        <v>57.38</v>
      </c>
      <c r="Y248" s="250">
        <f t="shared" si="44"/>
        <v>1.127952062037374E-2</v>
      </c>
      <c r="Z248" s="251"/>
      <c r="AA248" s="248" t="s">
        <v>451</v>
      </c>
      <c r="AB248" s="136">
        <v>32.65</v>
      </c>
      <c r="AC248" s="250">
        <f t="shared" si="45"/>
        <v>1.1148962527098183E-2</v>
      </c>
      <c r="AD248" s="251"/>
      <c r="AE248" s="248" t="s">
        <v>451</v>
      </c>
      <c r="AF248" s="136">
        <v>49.92</v>
      </c>
      <c r="AG248" s="250">
        <f t="shared" si="46"/>
        <v>1.6079788316710752E-2</v>
      </c>
      <c r="AH248" s="251"/>
      <c r="AI248" s="248" t="s">
        <v>451</v>
      </c>
      <c r="AJ248" s="136">
        <v>114.83</v>
      </c>
      <c r="AK248" s="250">
        <f t="shared" si="47"/>
        <v>2.5267857142857064E-2</v>
      </c>
      <c r="AL248" s="251"/>
      <c r="AM248" s="248" t="s">
        <v>451</v>
      </c>
      <c r="AN248" s="136">
        <v>38.130000000000003</v>
      </c>
      <c r="AO248" s="250">
        <f t="shared" si="48"/>
        <v>-2.8765690376568731E-3</v>
      </c>
      <c r="AP248" s="251"/>
      <c r="AQ248" s="248" t="s">
        <v>451</v>
      </c>
      <c r="AR248" s="136">
        <v>175.33</v>
      </c>
      <c r="AS248" s="250">
        <f t="shared" si="49"/>
        <v>3.4212233822922267E-2</v>
      </c>
      <c r="AT248" s="251"/>
      <c r="AU248" s="248" t="s">
        <v>451</v>
      </c>
      <c r="AV248" s="136">
        <v>51.75</v>
      </c>
      <c r="AW248" s="250">
        <f t="shared" si="50"/>
        <v>1.9905400078833235E-2</v>
      </c>
      <c r="AX248" s="251"/>
      <c r="AY248" s="248" t="s">
        <v>451</v>
      </c>
      <c r="AZ248" s="252">
        <v>2834.4</v>
      </c>
      <c r="BA248" s="250">
        <f t="shared" si="51"/>
        <v>1.202909262294205E-2</v>
      </c>
    </row>
    <row r="249" spans="3:53" ht="14.25" customHeight="1" x14ac:dyDescent="0.35">
      <c r="C249" s="248" t="s">
        <v>452</v>
      </c>
      <c r="D249" s="249">
        <v>120.72</v>
      </c>
      <c r="E249" s="250">
        <f t="shared" si="39"/>
        <v>4.3748919246066054E-2</v>
      </c>
      <c r="G249" s="248" t="s">
        <v>452</v>
      </c>
      <c r="H249" s="136">
        <v>45.93</v>
      </c>
      <c r="I249" s="250">
        <f t="shared" si="40"/>
        <v>1.3907284768212014E-2</v>
      </c>
      <c r="K249" s="248" t="s">
        <v>452</v>
      </c>
      <c r="L249" s="136">
        <v>27.71</v>
      </c>
      <c r="M249" s="250">
        <f t="shared" si="41"/>
        <v>1.0838150289018689E-3</v>
      </c>
      <c r="O249" s="248" t="s">
        <v>452</v>
      </c>
      <c r="P249" s="136">
        <v>26.75</v>
      </c>
      <c r="Q249" s="250">
        <f t="shared" si="42"/>
        <v>-0.11247511612475114</v>
      </c>
      <c r="R249" s="251"/>
      <c r="S249" s="248" t="s">
        <v>452</v>
      </c>
      <c r="T249" s="136">
        <v>43.59</v>
      </c>
      <c r="U249" s="250">
        <f t="shared" si="43"/>
        <v>2.4201127819548862E-2</v>
      </c>
      <c r="V249" s="251"/>
      <c r="W249" s="248" t="s">
        <v>452</v>
      </c>
      <c r="X249" s="136">
        <v>56.74</v>
      </c>
      <c r="Y249" s="250">
        <f t="shared" si="44"/>
        <v>4.5513174866408601E-2</v>
      </c>
      <c r="Z249" s="251"/>
      <c r="AA249" s="248" t="s">
        <v>452</v>
      </c>
      <c r="AB249" s="136">
        <v>32.29</v>
      </c>
      <c r="AC249" s="250">
        <f t="shared" si="45"/>
        <v>6.2324711748207307E-3</v>
      </c>
      <c r="AD249" s="251"/>
      <c r="AE249" s="248" t="s">
        <v>452</v>
      </c>
      <c r="AF249" s="136">
        <v>49.13</v>
      </c>
      <c r="AG249" s="250">
        <f t="shared" si="46"/>
        <v>2.782426778242697E-2</v>
      </c>
      <c r="AH249" s="251"/>
      <c r="AI249" s="248" t="s">
        <v>452</v>
      </c>
      <c r="AJ249" s="136">
        <v>112</v>
      </c>
      <c r="AK249" s="250">
        <f t="shared" si="47"/>
        <v>1.092156331798888E-2</v>
      </c>
      <c r="AL249" s="251"/>
      <c r="AM249" s="248" t="s">
        <v>452</v>
      </c>
      <c r="AN249" s="136">
        <v>38.24</v>
      </c>
      <c r="AO249" s="250">
        <f t="shared" si="48"/>
        <v>6.1927242432657792E-2</v>
      </c>
      <c r="AP249" s="251"/>
      <c r="AQ249" s="248" t="s">
        <v>452</v>
      </c>
      <c r="AR249" s="136">
        <v>169.53</v>
      </c>
      <c r="AS249" s="250">
        <f t="shared" si="49"/>
        <v>-5.3974772660603243E-3</v>
      </c>
      <c r="AT249" s="251"/>
      <c r="AU249" s="248" t="s">
        <v>452</v>
      </c>
      <c r="AV249" s="136">
        <v>50.74</v>
      </c>
      <c r="AW249" s="250">
        <f t="shared" si="50"/>
        <v>6.7985687223742541E-2</v>
      </c>
      <c r="AX249" s="251"/>
      <c r="AY249" s="248" t="s">
        <v>452</v>
      </c>
      <c r="AZ249" s="252">
        <v>2800.71</v>
      </c>
      <c r="BA249" s="250">
        <f t="shared" si="51"/>
        <v>-7.7130750262180969E-3</v>
      </c>
    </row>
    <row r="250" spans="3:53" ht="14.25" customHeight="1" x14ac:dyDescent="0.35">
      <c r="C250" s="253">
        <v>43741</v>
      </c>
      <c r="D250" s="249">
        <v>115.66</v>
      </c>
      <c r="E250" s="250">
        <f t="shared" si="39"/>
        <v>3.7316671005813706E-3</v>
      </c>
      <c r="G250" s="253">
        <v>43741</v>
      </c>
      <c r="H250" s="136">
        <v>45.3</v>
      </c>
      <c r="I250" s="250">
        <f t="shared" si="40"/>
        <v>1.025869759143605E-2</v>
      </c>
      <c r="K250" s="253">
        <v>43741</v>
      </c>
      <c r="L250" s="136">
        <v>27.68</v>
      </c>
      <c r="M250" s="250">
        <f t="shared" si="41"/>
        <v>4.8484848484848575E-2</v>
      </c>
      <c r="O250" s="253">
        <v>43741</v>
      </c>
      <c r="P250" s="136">
        <v>30.14</v>
      </c>
      <c r="Q250" s="250">
        <f t="shared" si="42"/>
        <v>-5.2805280528053222E-3</v>
      </c>
      <c r="R250" s="251"/>
      <c r="S250" s="253">
        <v>43741</v>
      </c>
      <c r="T250" s="136">
        <v>42.56</v>
      </c>
      <c r="U250" s="250">
        <f t="shared" si="43"/>
        <v>-1.0002326122354077E-2</v>
      </c>
      <c r="V250" s="251"/>
      <c r="W250" s="253">
        <v>43741</v>
      </c>
      <c r="X250" s="136">
        <v>54.27</v>
      </c>
      <c r="Y250" s="250">
        <f t="shared" si="44"/>
        <v>-5.3152492668621099E-3</v>
      </c>
      <c r="Z250" s="251"/>
      <c r="AA250" s="253">
        <v>43741</v>
      </c>
      <c r="AB250" s="136">
        <v>32.090000000000003</v>
      </c>
      <c r="AC250" s="250">
        <f t="shared" si="45"/>
        <v>-3.1152647975074554E-4</v>
      </c>
      <c r="AD250" s="251"/>
      <c r="AE250" s="253">
        <v>43741</v>
      </c>
      <c r="AF250" s="136">
        <v>47.8</v>
      </c>
      <c r="AG250" s="250">
        <f t="shared" si="46"/>
        <v>2.6191498497209142E-2</v>
      </c>
      <c r="AH250" s="251"/>
      <c r="AI250" s="253">
        <v>43741</v>
      </c>
      <c r="AJ250" s="136">
        <v>110.79</v>
      </c>
      <c r="AK250" s="250">
        <f t="shared" si="47"/>
        <v>-4.04530744336562E-3</v>
      </c>
      <c r="AL250" s="251"/>
      <c r="AM250" s="253">
        <v>43741</v>
      </c>
      <c r="AN250" s="136">
        <v>36.01</v>
      </c>
      <c r="AO250" s="250">
        <f t="shared" si="48"/>
        <v>-2.7762354247651277E-4</v>
      </c>
      <c r="AP250" s="251"/>
      <c r="AQ250" s="253">
        <v>43741</v>
      </c>
      <c r="AR250" s="136">
        <v>170.45</v>
      </c>
      <c r="AS250" s="250">
        <f t="shared" si="49"/>
        <v>2.5633311270232717E-2</v>
      </c>
      <c r="AT250" s="251"/>
      <c r="AU250" s="253">
        <v>43741</v>
      </c>
      <c r="AV250" s="136">
        <v>47.51</v>
      </c>
      <c r="AW250" s="250">
        <f t="shared" si="50"/>
        <v>2.040378006872845E-2</v>
      </c>
      <c r="AX250" s="251"/>
      <c r="AY250" s="253">
        <v>43741</v>
      </c>
      <c r="AZ250" s="252">
        <v>2822.48</v>
      </c>
      <c r="BA250" s="250">
        <f t="shared" si="51"/>
        <v>2.894931591246297E-2</v>
      </c>
    </row>
    <row r="251" spans="3:53" ht="14.25" customHeight="1" x14ac:dyDescent="0.35">
      <c r="C251" s="253">
        <v>43527</v>
      </c>
      <c r="D251" s="249">
        <v>115.23</v>
      </c>
      <c r="E251" s="250">
        <f t="shared" si="39"/>
        <v>-8.1769667756929065E-3</v>
      </c>
      <c r="G251" s="253">
        <v>43527</v>
      </c>
      <c r="H251" s="136">
        <v>44.84</v>
      </c>
      <c r="I251" s="250">
        <f t="shared" si="40"/>
        <v>-1.189951520493604E-2</v>
      </c>
      <c r="K251" s="253">
        <v>43527</v>
      </c>
      <c r="L251" s="136">
        <v>26.4</v>
      </c>
      <c r="M251" s="250">
        <f t="shared" si="41"/>
        <v>1.538461538461533E-2</v>
      </c>
      <c r="O251" s="253">
        <v>43527</v>
      </c>
      <c r="P251" s="136">
        <v>30.3</v>
      </c>
      <c r="Q251" s="250">
        <f t="shared" si="42"/>
        <v>-6.3948100092678262E-2</v>
      </c>
      <c r="R251" s="251"/>
      <c r="S251" s="253">
        <v>43527</v>
      </c>
      <c r="T251" s="136">
        <v>42.99</v>
      </c>
      <c r="U251" s="250">
        <f t="shared" si="43"/>
        <v>-9.2187139893984416E-3</v>
      </c>
      <c r="V251" s="251"/>
      <c r="W251" s="253">
        <v>43527</v>
      </c>
      <c r="X251" s="136">
        <v>54.56</v>
      </c>
      <c r="Y251" s="250">
        <f t="shared" si="44"/>
        <v>-4.0112596762843067E-2</v>
      </c>
      <c r="Z251" s="251"/>
      <c r="AA251" s="253">
        <v>43527</v>
      </c>
      <c r="AB251" s="136">
        <v>32.1</v>
      </c>
      <c r="AC251" s="250">
        <f t="shared" si="45"/>
        <v>-9.2592592592591894E-3</v>
      </c>
      <c r="AD251" s="251"/>
      <c r="AE251" s="253">
        <v>43527</v>
      </c>
      <c r="AF251" s="136">
        <v>46.58</v>
      </c>
      <c r="AG251" s="250">
        <f t="shared" si="46"/>
        <v>-1.3762439127673054E-2</v>
      </c>
      <c r="AH251" s="251"/>
      <c r="AI251" s="253">
        <v>43527</v>
      </c>
      <c r="AJ251" s="136">
        <v>111.24</v>
      </c>
      <c r="AK251" s="250">
        <f t="shared" si="47"/>
        <v>-8.8211708099439345E-3</v>
      </c>
      <c r="AL251" s="251"/>
      <c r="AM251" s="253">
        <v>43527</v>
      </c>
      <c r="AN251" s="136">
        <v>36.020000000000003</v>
      </c>
      <c r="AO251" s="250">
        <f t="shared" si="48"/>
        <v>-9.0784044016505305E-3</v>
      </c>
      <c r="AP251" s="251"/>
      <c r="AQ251" s="253">
        <v>43527</v>
      </c>
      <c r="AR251" s="136">
        <v>166.19</v>
      </c>
      <c r="AS251" s="250">
        <f t="shared" si="49"/>
        <v>-3.3441898336629028E-2</v>
      </c>
      <c r="AT251" s="251"/>
      <c r="AU251" s="253">
        <v>43527</v>
      </c>
      <c r="AV251" s="136">
        <v>46.56</v>
      </c>
      <c r="AW251" s="250">
        <f t="shared" si="50"/>
        <v>-1.3977128335451061E-2</v>
      </c>
      <c r="AX251" s="251"/>
      <c r="AY251" s="253">
        <v>43527</v>
      </c>
      <c r="AZ251" s="252">
        <v>2743.07</v>
      </c>
      <c r="BA251" s="250">
        <f t="shared" si="51"/>
        <v>-2.1621505943952402E-2</v>
      </c>
    </row>
    <row r="252" spans="3:53" ht="14.25" customHeight="1" x14ac:dyDescent="0.35">
      <c r="C252" s="248" t="s">
        <v>453</v>
      </c>
      <c r="D252" s="249">
        <v>116.18</v>
      </c>
      <c r="E252" s="250">
        <f t="shared" si="39"/>
        <v>-4.9674546077423942E-3</v>
      </c>
      <c r="G252" s="248" t="s">
        <v>453</v>
      </c>
      <c r="H252" s="136">
        <v>45.38</v>
      </c>
      <c r="I252" s="250">
        <f t="shared" si="40"/>
        <v>2.2084805653710404E-3</v>
      </c>
      <c r="K252" s="248" t="s">
        <v>453</v>
      </c>
      <c r="L252" s="136">
        <v>26</v>
      </c>
      <c r="M252" s="250">
        <f t="shared" si="41"/>
        <v>-5.3857350800582293E-2</v>
      </c>
      <c r="O252" s="248" t="s">
        <v>453</v>
      </c>
      <c r="P252" s="136">
        <v>32.369999999999997</v>
      </c>
      <c r="Q252" s="250">
        <f t="shared" si="42"/>
        <v>0.10780287474332639</v>
      </c>
      <c r="R252" s="251"/>
      <c r="S252" s="248" t="s">
        <v>453</v>
      </c>
      <c r="T252" s="136">
        <v>43.39</v>
      </c>
      <c r="U252" s="250">
        <f t="shared" si="43"/>
        <v>1.1186203682125528E-2</v>
      </c>
      <c r="V252" s="251"/>
      <c r="W252" s="248" t="s">
        <v>453</v>
      </c>
      <c r="X252" s="136">
        <v>56.84</v>
      </c>
      <c r="Y252" s="250">
        <f t="shared" si="44"/>
        <v>1.9390093424995758E-3</v>
      </c>
      <c r="Z252" s="251"/>
      <c r="AA252" s="248" t="s">
        <v>453</v>
      </c>
      <c r="AB252" s="136">
        <v>32.4</v>
      </c>
      <c r="AC252" s="250">
        <f t="shared" si="45"/>
        <v>-7.2961373390558082E-2</v>
      </c>
      <c r="AD252" s="251"/>
      <c r="AE252" s="248" t="s">
        <v>453</v>
      </c>
      <c r="AF252" s="136">
        <v>47.23</v>
      </c>
      <c r="AG252" s="250">
        <f t="shared" si="46"/>
        <v>-1.0268231349539025E-2</v>
      </c>
      <c r="AH252" s="251"/>
      <c r="AI252" s="248" t="s">
        <v>453</v>
      </c>
      <c r="AJ252" s="136">
        <v>112.23</v>
      </c>
      <c r="AK252" s="250">
        <f t="shared" si="47"/>
        <v>1.8236254763200899E-2</v>
      </c>
      <c r="AL252" s="251"/>
      <c r="AM252" s="248" t="s">
        <v>453</v>
      </c>
      <c r="AN252" s="136">
        <v>36.35</v>
      </c>
      <c r="AO252" s="250">
        <f t="shared" si="48"/>
        <v>0.10721900700578746</v>
      </c>
      <c r="AP252" s="251"/>
      <c r="AQ252" s="248" t="s">
        <v>453</v>
      </c>
      <c r="AR252" s="136">
        <v>171.94</v>
      </c>
      <c r="AS252" s="250">
        <f t="shared" si="49"/>
        <v>1.7035372057257803E-2</v>
      </c>
      <c r="AT252" s="251"/>
      <c r="AU252" s="248" t="s">
        <v>453</v>
      </c>
      <c r="AV252" s="136">
        <v>47.22</v>
      </c>
      <c r="AW252" s="250">
        <f t="shared" si="50"/>
        <v>1.3739802490339237E-2</v>
      </c>
      <c r="AX252" s="251"/>
      <c r="AY252" s="248" t="s">
        <v>453</v>
      </c>
      <c r="AZ252" s="252">
        <v>2803.69</v>
      </c>
      <c r="BA252" s="250">
        <f t="shared" si="51"/>
        <v>3.946044466406784E-3</v>
      </c>
    </row>
    <row r="253" spans="3:53" ht="14.25" customHeight="1" x14ac:dyDescent="0.35">
      <c r="C253" s="248" t="s">
        <v>454</v>
      </c>
      <c r="D253" s="249">
        <v>116.76</v>
      </c>
      <c r="E253" s="250">
        <f t="shared" si="39"/>
        <v>7.3332758174446955E-3</v>
      </c>
      <c r="G253" s="248" t="s">
        <v>454</v>
      </c>
      <c r="H253" s="136">
        <v>45.28</v>
      </c>
      <c r="I253" s="250">
        <f t="shared" si="40"/>
        <v>8.8417329796630639E-4</v>
      </c>
      <c r="K253" s="248" t="s">
        <v>454</v>
      </c>
      <c r="L253" s="136">
        <v>27.48</v>
      </c>
      <c r="M253" s="250">
        <f t="shared" si="41"/>
        <v>-2.6912181303116123E-2</v>
      </c>
      <c r="O253" s="248" t="s">
        <v>454</v>
      </c>
      <c r="P253" s="136">
        <v>29.22</v>
      </c>
      <c r="Q253" s="250">
        <f t="shared" si="42"/>
        <v>-4.7683923705722497E-3</v>
      </c>
      <c r="R253" s="251"/>
      <c r="S253" s="248" t="s">
        <v>454</v>
      </c>
      <c r="T253" s="136">
        <v>42.91</v>
      </c>
      <c r="U253" s="250">
        <f t="shared" si="43"/>
        <v>-6.7129629629630871E-3</v>
      </c>
      <c r="V253" s="251"/>
      <c r="W253" s="248" t="s">
        <v>454</v>
      </c>
      <c r="X253" s="136">
        <v>56.73</v>
      </c>
      <c r="Y253" s="250">
        <f t="shared" si="44"/>
        <v>-1.0565240359218242E-3</v>
      </c>
      <c r="Z253" s="251"/>
      <c r="AA253" s="248" t="s">
        <v>454</v>
      </c>
      <c r="AB253" s="136">
        <v>34.950000000000003</v>
      </c>
      <c r="AC253" s="250">
        <f t="shared" si="45"/>
        <v>-0.26606467870642581</v>
      </c>
      <c r="AD253" s="251"/>
      <c r="AE253" s="248" t="s">
        <v>454</v>
      </c>
      <c r="AF253" s="136">
        <v>47.72</v>
      </c>
      <c r="AG253" s="250">
        <f t="shared" si="46"/>
        <v>-9.1362126245846387E-3</v>
      </c>
      <c r="AH253" s="251"/>
      <c r="AI253" s="248" t="s">
        <v>454</v>
      </c>
      <c r="AJ253" s="136">
        <v>110.22</v>
      </c>
      <c r="AK253" s="250">
        <f t="shared" si="47"/>
        <v>7.9561042524005643E-3</v>
      </c>
      <c r="AL253" s="251"/>
      <c r="AM253" s="248" t="s">
        <v>454</v>
      </c>
      <c r="AN253" s="136">
        <v>32.83</v>
      </c>
      <c r="AO253" s="250">
        <f t="shared" si="48"/>
        <v>-5.633802816901412E-2</v>
      </c>
      <c r="AP253" s="251"/>
      <c r="AQ253" s="248" t="s">
        <v>454</v>
      </c>
      <c r="AR253" s="136">
        <v>169.06</v>
      </c>
      <c r="AS253" s="250">
        <f t="shared" si="49"/>
        <v>-3.3445772111371563E-2</v>
      </c>
      <c r="AT253" s="251"/>
      <c r="AU253" s="248" t="s">
        <v>454</v>
      </c>
      <c r="AV253" s="136">
        <v>46.58</v>
      </c>
      <c r="AW253" s="250">
        <f t="shared" si="50"/>
        <v>3.4191829484902181E-2</v>
      </c>
      <c r="AX253" s="251"/>
      <c r="AY253" s="248" t="s">
        <v>454</v>
      </c>
      <c r="AZ253" s="252">
        <v>2792.67</v>
      </c>
      <c r="BA253" s="250">
        <f t="shared" si="51"/>
        <v>6.1500216169476651E-3</v>
      </c>
    </row>
    <row r="254" spans="3:53" ht="14.25" customHeight="1" x14ac:dyDescent="0.35">
      <c r="C254" s="253">
        <v>43740</v>
      </c>
      <c r="D254" s="249">
        <v>115.91</v>
      </c>
      <c r="E254" s="250">
        <f t="shared" si="39"/>
        <v>2.5661445889744172E-2</v>
      </c>
      <c r="G254" s="253">
        <v>43740</v>
      </c>
      <c r="H254" s="136">
        <v>45.24</v>
      </c>
      <c r="I254" s="250">
        <f t="shared" si="40"/>
        <v>-8.606060606060606E-2</v>
      </c>
      <c r="K254" s="253">
        <v>43740</v>
      </c>
      <c r="L254" s="136">
        <v>28.24</v>
      </c>
      <c r="M254" s="250">
        <f t="shared" si="41"/>
        <v>1.6558675305975434E-2</v>
      </c>
      <c r="O254" s="253">
        <v>43740</v>
      </c>
      <c r="P254" s="136">
        <v>29.36</v>
      </c>
      <c r="Q254" s="250">
        <f t="shared" si="42"/>
        <v>1.4162348877374775E-2</v>
      </c>
      <c r="R254" s="251"/>
      <c r="S254" s="253">
        <v>43740</v>
      </c>
      <c r="T254" s="136">
        <v>43.2</v>
      </c>
      <c r="U254" s="250">
        <f t="shared" si="43"/>
        <v>6.0549604098742993E-3</v>
      </c>
      <c r="V254" s="251"/>
      <c r="W254" s="253">
        <v>43740</v>
      </c>
      <c r="X254" s="136">
        <v>56.79</v>
      </c>
      <c r="Y254" s="250">
        <f t="shared" si="44"/>
        <v>2.5830924855491322E-2</v>
      </c>
      <c r="Z254" s="251"/>
      <c r="AA254" s="253">
        <v>43740</v>
      </c>
      <c r="AB254" s="136">
        <v>47.62</v>
      </c>
      <c r="AC254" s="250">
        <f t="shared" si="45"/>
        <v>3.3712600084281341E-3</v>
      </c>
      <c r="AD254" s="251"/>
      <c r="AE254" s="253">
        <v>43740</v>
      </c>
      <c r="AF254" s="136">
        <v>48.16</v>
      </c>
      <c r="AG254" s="250">
        <f t="shared" si="46"/>
        <v>2.6865671641790989E-2</v>
      </c>
      <c r="AH254" s="251"/>
      <c r="AI254" s="253">
        <v>43740</v>
      </c>
      <c r="AJ254" s="136">
        <v>109.35</v>
      </c>
      <c r="AK254" s="250">
        <f t="shared" si="47"/>
        <v>8.5777531820696584E-3</v>
      </c>
      <c r="AL254" s="251"/>
      <c r="AM254" s="253">
        <v>43740</v>
      </c>
      <c r="AN254" s="136">
        <v>34.79</v>
      </c>
      <c r="AO254" s="250">
        <f t="shared" si="48"/>
        <v>1.458151064450286E-2</v>
      </c>
      <c r="AP254" s="251"/>
      <c r="AQ254" s="253">
        <v>43740</v>
      </c>
      <c r="AR254" s="136">
        <v>174.91</v>
      </c>
      <c r="AS254" s="250">
        <f t="shared" si="49"/>
        <v>-1.7692044287181963E-3</v>
      </c>
      <c r="AT254" s="251"/>
      <c r="AU254" s="253">
        <v>43740</v>
      </c>
      <c r="AV254" s="136">
        <v>45.04</v>
      </c>
      <c r="AW254" s="250">
        <f t="shared" si="50"/>
        <v>2.4800910125142073E-2</v>
      </c>
      <c r="AX254" s="251"/>
      <c r="AY254" s="253">
        <v>43740</v>
      </c>
      <c r="AZ254" s="252">
        <v>2775.6</v>
      </c>
      <c r="BA254" s="250">
        <f t="shared" si="51"/>
        <v>2.500849372941194E-2</v>
      </c>
    </row>
    <row r="255" spans="3:53" ht="14.25" customHeight="1" x14ac:dyDescent="0.35">
      <c r="C255" s="253">
        <v>43526</v>
      </c>
      <c r="D255" s="249">
        <v>113.01</v>
      </c>
      <c r="E255" s="250">
        <f t="shared" si="39"/>
        <v>7.3090293252517924E-3</v>
      </c>
      <c r="G255" s="253">
        <v>43526</v>
      </c>
      <c r="H255" s="136">
        <v>49.5</v>
      </c>
      <c r="I255" s="250">
        <f t="shared" si="40"/>
        <v>1.6427104722792629E-2</v>
      </c>
      <c r="K255" s="253">
        <v>43526</v>
      </c>
      <c r="L255" s="136">
        <v>27.78</v>
      </c>
      <c r="M255" s="250">
        <f t="shared" si="41"/>
        <v>2.094818081587646E-2</v>
      </c>
      <c r="O255" s="253">
        <v>43526</v>
      </c>
      <c r="P255" s="136">
        <v>28.95</v>
      </c>
      <c r="Q255" s="250">
        <f t="shared" si="42"/>
        <v>-1.0351966873706209E-3</v>
      </c>
      <c r="R255" s="251"/>
      <c r="S255" s="253">
        <v>43526</v>
      </c>
      <c r="T255" s="136">
        <v>42.94</v>
      </c>
      <c r="U255" s="250">
        <f t="shared" si="43"/>
        <v>2.238095238095239E-2</v>
      </c>
      <c r="V255" s="251"/>
      <c r="W255" s="253">
        <v>43526</v>
      </c>
      <c r="X255" s="136">
        <v>55.36</v>
      </c>
      <c r="Y255" s="250">
        <f t="shared" si="44"/>
        <v>-5.6899488926746233E-2</v>
      </c>
      <c r="Z255" s="251"/>
      <c r="AA255" s="253">
        <v>43526</v>
      </c>
      <c r="AB255" s="136">
        <v>47.46</v>
      </c>
      <c r="AC255" s="250">
        <f t="shared" si="45"/>
        <v>-6.2814070351757678E-3</v>
      </c>
      <c r="AD255" s="251"/>
      <c r="AE255" s="253">
        <v>43526</v>
      </c>
      <c r="AF255" s="136">
        <v>46.9</v>
      </c>
      <c r="AG255" s="250">
        <f t="shared" si="46"/>
        <v>2.9185867895545226E-2</v>
      </c>
      <c r="AH255" s="251"/>
      <c r="AI255" s="253">
        <v>43526</v>
      </c>
      <c r="AJ255" s="136">
        <v>108.42</v>
      </c>
      <c r="AK255" s="250">
        <f t="shared" si="47"/>
        <v>3.473945409429291E-2</v>
      </c>
      <c r="AL255" s="251"/>
      <c r="AM255" s="253">
        <v>43526</v>
      </c>
      <c r="AN255" s="136">
        <v>34.29</v>
      </c>
      <c r="AO255" s="250">
        <f t="shared" si="48"/>
        <v>-2.0565552699228773E-2</v>
      </c>
      <c r="AP255" s="251"/>
      <c r="AQ255" s="253">
        <v>43526</v>
      </c>
      <c r="AR255" s="136">
        <v>175.22</v>
      </c>
      <c r="AS255" s="250">
        <f t="shared" si="49"/>
        <v>8.4604316546763592E-3</v>
      </c>
      <c r="AT255" s="251"/>
      <c r="AU255" s="253">
        <v>43526</v>
      </c>
      <c r="AV255" s="136">
        <v>43.95</v>
      </c>
      <c r="AW255" s="250">
        <f t="shared" si="50"/>
        <v>-6.5551537070523969E-3</v>
      </c>
      <c r="AX255" s="251"/>
      <c r="AY255" s="253">
        <v>43526</v>
      </c>
      <c r="AZ255" s="252">
        <v>2707.88</v>
      </c>
      <c r="BA255" s="250">
        <f t="shared" si="51"/>
        <v>4.9879365830052258E-4</v>
      </c>
    </row>
    <row r="256" spans="3:53" ht="14.25" customHeight="1" x14ac:dyDescent="0.35">
      <c r="C256" s="248" t="s">
        <v>455</v>
      </c>
      <c r="D256" s="249">
        <v>112.19</v>
      </c>
      <c r="E256" s="250">
        <f t="shared" si="39"/>
        <v>2.5971650663008772E-2</v>
      </c>
      <c r="G256" s="248" t="s">
        <v>455</v>
      </c>
      <c r="H256" s="136">
        <v>48.7</v>
      </c>
      <c r="I256" s="250">
        <f t="shared" si="40"/>
        <v>2.8076841883048376E-2</v>
      </c>
      <c r="K256" s="248" t="s">
        <v>455</v>
      </c>
      <c r="L256" s="136">
        <v>27.21</v>
      </c>
      <c r="M256" s="250">
        <f t="shared" si="41"/>
        <v>3.4600760456273694E-2</v>
      </c>
      <c r="O256" s="248" t="s">
        <v>455</v>
      </c>
      <c r="P256" s="136">
        <v>28.98</v>
      </c>
      <c r="Q256" s="250">
        <f t="shared" si="42"/>
        <v>3.7593984962406068E-2</v>
      </c>
      <c r="R256" s="251"/>
      <c r="S256" s="248" t="s">
        <v>455</v>
      </c>
      <c r="T256" s="136">
        <v>42</v>
      </c>
      <c r="U256" s="250">
        <f t="shared" si="43"/>
        <v>1.3024602026049159E-2</v>
      </c>
      <c r="V256" s="251"/>
      <c r="W256" s="248" t="s">
        <v>455</v>
      </c>
      <c r="X256" s="136">
        <v>58.7</v>
      </c>
      <c r="Y256" s="250">
        <f t="shared" si="44"/>
        <v>1.5922464520595314E-2</v>
      </c>
      <c r="Z256" s="251"/>
      <c r="AA256" s="248" t="s">
        <v>455</v>
      </c>
      <c r="AB256" s="136">
        <v>47.76</v>
      </c>
      <c r="AC256" s="250">
        <f t="shared" si="45"/>
        <v>2.1604278074866201E-2</v>
      </c>
      <c r="AD256" s="251"/>
      <c r="AE256" s="248" t="s">
        <v>455</v>
      </c>
      <c r="AF256" s="136">
        <v>45.57</v>
      </c>
      <c r="AG256" s="250">
        <f t="shared" si="46"/>
        <v>6.6713483146067398E-2</v>
      </c>
      <c r="AH256" s="251"/>
      <c r="AI256" s="248" t="s">
        <v>455</v>
      </c>
      <c r="AJ256" s="136">
        <v>104.78</v>
      </c>
      <c r="AK256" s="250">
        <f t="shared" si="47"/>
        <v>4.6021093000958579E-3</v>
      </c>
      <c r="AL256" s="251"/>
      <c r="AM256" s="248" t="s">
        <v>455</v>
      </c>
      <c r="AN256" s="136">
        <v>35.01</v>
      </c>
      <c r="AO256" s="250">
        <f t="shared" si="48"/>
        <v>2.2488317757009213E-2</v>
      </c>
      <c r="AP256" s="251"/>
      <c r="AQ256" s="248" t="s">
        <v>455</v>
      </c>
      <c r="AR256" s="136">
        <v>173.75</v>
      </c>
      <c r="AS256" s="250">
        <f t="shared" si="49"/>
        <v>4.1666666666666519E-2</v>
      </c>
      <c r="AT256" s="251"/>
      <c r="AU256" s="248" t="s">
        <v>455</v>
      </c>
      <c r="AV256" s="136">
        <v>44.24</v>
      </c>
      <c r="AW256" s="250">
        <f t="shared" si="50"/>
        <v>2.1945021945021903E-2</v>
      </c>
      <c r="AX256" s="251"/>
      <c r="AY256" s="248" t="s">
        <v>455</v>
      </c>
      <c r="AZ256" s="252">
        <v>2706.53</v>
      </c>
      <c r="BA256" s="250">
        <f t="shared" si="51"/>
        <v>1.5674957594680183E-2</v>
      </c>
    </row>
    <row r="257" spans="3:53" ht="14.25" customHeight="1" x14ac:dyDescent="0.35">
      <c r="C257" s="248" t="s">
        <v>456</v>
      </c>
      <c r="D257" s="249">
        <v>109.35</v>
      </c>
      <c r="E257" s="250">
        <f t="shared" si="39"/>
        <v>-6.5412919051512919E-3</v>
      </c>
      <c r="G257" s="248" t="s">
        <v>456</v>
      </c>
      <c r="H257" s="136">
        <v>47.37</v>
      </c>
      <c r="I257" s="250">
        <f t="shared" si="40"/>
        <v>-5.0409577819786611E-3</v>
      </c>
      <c r="K257" s="248" t="s">
        <v>456</v>
      </c>
      <c r="L257" s="136">
        <v>26.3</v>
      </c>
      <c r="M257" s="250">
        <f t="shared" si="41"/>
        <v>-1.3873265841769844E-2</v>
      </c>
      <c r="O257" s="248" t="s">
        <v>456</v>
      </c>
      <c r="P257" s="136">
        <v>27.93</v>
      </c>
      <c r="Q257" s="250">
        <f t="shared" si="42"/>
        <v>5.0377833753147971E-3</v>
      </c>
      <c r="R257" s="251"/>
      <c r="S257" s="248" t="s">
        <v>456</v>
      </c>
      <c r="T257" s="136">
        <v>41.46</v>
      </c>
      <c r="U257" s="250">
        <f t="shared" si="43"/>
        <v>-5.4288321167883291E-2</v>
      </c>
      <c r="V257" s="251"/>
      <c r="W257" s="248" t="s">
        <v>456</v>
      </c>
      <c r="X257" s="136">
        <v>57.78</v>
      </c>
      <c r="Y257" s="250">
        <f t="shared" si="44"/>
        <v>-2.7763755678949953E-2</v>
      </c>
      <c r="Z257" s="251"/>
      <c r="AA257" s="248" t="s">
        <v>456</v>
      </c>
      <c r="AB257" s="136">
        <v>46.75</v>
      </c>
      <c r="AC257" s="250">
        <f t="shared" si="45"/>
        <v>-1.6410687986534889E-2</v>
      </c>
      <c r="AD257" s="251"/>
      <c r="AE257" s="248" t="s">
        <v>456</v>
      </c>
      <c r="AF257" s="136">
        <v>42.72</v>
      </c>
      <c r="AG257" s="250">
        <f t="shared" si="46"/>
        <v>-1.4760147601476037E-2</v>
      </c>
      <c r="AH257" s="251"/>
      <c r="AI257" s="248" t="s">
        <v>456</v>
      </c>
      <c r="AJ257" s="136">
        <v>104.3</v>
      </c>
      <c r="AK257" s="250">
        <f t="shared" si="47"/>
        <v>-3.5509524690216399E-2</v>
      </c>
      <c r="AL257" s="251"/>
      <c r="AM257" s="248" t="s">
        <v>456</v>
      </c>
      <c r="AN257" s="136">
        <v>34.24</v>
      </c>
      <c r="AO257" s="250">
        <f t="shared" si="48"/>
        <v>-3.5221189067342951E-2</v>
      </c>
      <c r="AP257" s="251"/>
      <c r="AQ257" s="248" t="s">
        <v>456</v>
      </c>
      <c r="AR257" s="136">
        <v>166.8</v>
      </c>
      <c r="AS257" s="250">
        <f t="shared" si="49"/>
        <v>1.6143770941212443E-2</v>
      </c>
      <c r="AT257" s="251"/>
      <c r="AU257" s="248" t="s">
        <v>456</v>
      </c>
      <c r="AV257" s="136">
        <v>43.29</v>
      </c>
      <c r="AW257" s="250">
        <f t="shared" si="50"/>
        <v>-4.1407867494823725E-3</v>
      </c>
      <c r="AX257" s="251"/>
      <c r="AY257" s="248" t="s">
        <v>456</v>
      </c>
      <c r="AZ257" s="252">
        <v>2664.76</v>
      </c>
      <c r="BA257" s="250">
        <f t="shared" si="51"/>
        <v>-2.2278719890964638E-3</v>
      </c>
    </row>
    <row r="258" spans="3:53" ht="14.25" customHeight="1" x14ac:dyDescent="0.35">
      <c r="C258" s="248" t="s">
        <v>457</v>
      </c>
      <c r="D258" s="249">
        <v>110.07</v>
      </c>
      <c r="E258" s="250">
        <f>D258/D259-1</f>
        <v>1.7659023668638918E-2</v>
      </c>
      <c r="G258" s="248" t="s">
        <v>457</v>
      </c>
      <c r="H258" s="136">
        <v>47.61</v>
      </c>
      <c r="I258" s="250">
        <f t="shared" si="40"/>
        <v>5.7034220532319324E-3</v>
      </c>
      <c r="K258" s="248" t="s">
        <v>457</v>
      </c>
      <c r="L258" s="136">
        <v>26.67</v>
      </c>
      <c r="M258" s="250">
        <f t="shared" si="41"/>
        <v>-1.2222222222222134E-2</v>
      </c>
      <c r="O258" s="248" t="s">
        <v>457</v>
      </c>
      <c r="P258" s="136">
        <v>27.79</v>
      </c>
      <c r="Q258" s="250">
        <f t="shared" si="42"/>
        <v>2.244297277409868E-2</v>
      </c>
      <c r="R258" s="251"/>
      <c r="S258" s="248" t="s">
        <v>457</v>
      </c>
      <c r="T258" s="136">
        <v>43.84</v>
      </c>
      <c r="U258" s="250">
        <f t="shared" si="43"/>
        <v>3.0559473436765572E-2</v>
      </c>
      <c r="V258" s="251"/>
      <c r="W258" s="248" t="s">
        <v>457</v>
      </c>
      <c r="X258" s="136">
        <v>59.43</v>
      </c>
      <c r="Y258" s="250">
        <f t="shared" si="44"/>
        <v>1.4510071696824944E-2</v>
      </c>
      <c r="Z258" s="251"/>
      <c r="AA258" s="248" t="s">
        <v>457</v>
      </c>
      <c r="AB258" s="136">
        <v>47.53</v>
      </c>
      <c r="AC258" s="250">
        <f t="shared" si="45"/>
        <v>4.2096031572023795E-2</v>
      </c>
      <c r="AD258" s="251"/>
      <c r="AE258" s="248" t="s">
        <v>457</v>
      </c>
      <c r="AF258" s="136">
        <v>43.36</v>
      </c>
      <c r="AG258" s="250">
        <f t="shared" si="46"/>
        <v>2.6758228747336021E-2</v>
      </c>
      <c r="AH258" s="251"/>
      <c r="AI258" s="248" t="s">
        <v>457</v>
      </c>
      <c r="AJ258" s="136">
        <v>108.14</v>
      </c>
      <c r="AK258" s="250">
        <f t="shared" si="47"/>
        <v>1.454170184820347E-2</v>
      </c>
      <c r="AL258" s="251"/>
      <c r="AM258" s="248" t="s">
        <v>457</v>
      </c>
      <c r="AN258" s="136">
        <v>35.49</v>
      </c>
      <c r="AO258" s="250">
        <f t="shared" si="48"/>
        <v>1.2842465753424737E-2</v>
      </c>
      <c r="AP258" s="251"/>
      <c r="AQ258" s="248" t="s">
        <v>457</v>
      </c>
      <c r="AR258" s="136">
        <v>164.15</v>
      </c>
      <c r="AS258" s="250">
        <f t="shared" si="49"/>
        <v>3.102820174612142E-2</v>
      </c>
      <c r="AT258" s="251"/>
      <c r="AU258" s="248" t="s">
        <v>457</v>
      </c>
      <c r="AV258" s="136">
        <v>43.47</v>
      </c>
      <c r="AW258" s="250">
        <f t="shared" si="50"/>
        <v>3.9952153110047961E-2</v>
      </c>
      <c r="AX258" s="251"/>
      <c r="AY258" s="248" t="s">
        <v>457</v>
      </c>
      <c r="AZ258" s="252">
        <v>2670.71</v>
      </c>
      <c r="BA258" s="250">
        <f t="shared" si="51"/>
        <v>2.8675864512799132E-2</v>
      </c>
    </row>
    <row r="259" spans="3:53" ht="14.25" customHeight="1" x14ac:dyDescent="0.35">
      <c r="C259" s="254">
        <v>43617</v>
      </c>
      <c r="D259" s="255">
        <v>108.16</v>
      </c>
      <c r="E259" s="250"/>
      <c r="G259" s="254">
        <v>43617</v>
      </c>
      <c r="H259" s="246">
        <v>47.34</v>
      </c>
      <c r="I259" s="250"/>
      <c r="K259" s="254">
        <v>43617</v>
      </c>
      <c r="L259" s="246">
        <v>27</v>
      </c>
      <c r="M259" s="250"/>
      <c r="O259" s="254">
        <v>43617</v>
      </c>
      <c r="P259" s="246">
        <v>27.18</v>
      </c>
      <c r="Q259" s="250"/>
      <c r="R259" s="251"/>
      <c r="S259" s="254">
        <v>43617</v>
      </c>
      <c r="T259" s="246">
        <v>42.54</v>
      </c>
      <c r="U259" s="250"/>
      <c r="V259" s="251"/>
      <c r="W259" s="254">
        <v>43617</v>
      </c>
      <c r="X259" s="246">
        <v>58.58</v>
      </c>
      <c r="Y259" s="250"/>
      <c r="Z259" s="251"/>
      <c r="AA259" s="254">
        <v>43617</v>
      </c>
      <c r="AB259" s="246">
        <v>45.61</v>
      </c>
      <c r="AC259" s="250"/>
      <c r="AD259" s="251"/>
      <c r="AE259" s="254">
        <v>43617</v>
      </c>
      <c r="AF259" s="246">
        <v>42.23</v>
      </c>
      <c r="AG259" s="250"/>
      <c r="AH259" s="251"/>
      <c r="AI259" s="254">
        <v>43617</v>
      </c>
      <c r="AJ259" s="246">
        <v>106.59</v>
      </c>
      <c r="AK259" s="250"/>
      <c r="AL259" s="251"/>
      <c r="AM259" s="254">
        <v>43617</v>
      </c>
      <c r="AN259" s="246">
        <v>35.04</v>
      </c>
      <c r="AO259" s="250"/>
      <c r="AP259" s="251"/>
      <c r="AQ259" s="254">
        <v>43617</v>
      </c>
      <c r="AR259" s="246">
        <v>159.21</v>
      </c>
      <c r="AS259" s="250"/>
      <c r="AT259" s="251"/>
      <c r="AU259" s="254">
        <v>43617</v>
      </c>
      <c r="AV259" s="246">
        <v>41.8</v>
      </c>
      <c r="AW259" s="250"/>
      <c r="AX259" s="251"/>
      <c r="AY259" s="254">
        <v>43617</v>
      </c>
      <c r="AZ259" s="256">
        <v>2596.2600000000002</v>
      </c>
      <c r="BA259" s="250"/>
    </row>
    <row r="260" spans="3:53" ht="14.25" customHeight="1" x14ac:dyDescent="0.35">
      <c r="C260" s="257"/>
    </row>
    <row r="261" spans="3:53" ht="14.25" customHeight="1" x14ac:dyDescent="0.35">
      <c r="C261" s="257"/>
    </row>
    <row r="262" spans="3:53" ht="14.25" customHeight="1" x14ac:dyDescent="0.35">
      <c r="C262" s="257"/>
    </row>
    <row r="263" spans="3:53" ht="14.25" customHeight="1" x14ac:dyDescent="0.35">
      <c r="C263" s="257"/>
    </row>
    <row r="264" spans="3:53" ht="14.25" customHeight="1" x14ac:dyDescent="0.35">
      <c r="C264" s="257"/>
    </row>
    <row r="265" spans="3:53" ht="14.25" customHeight="1" x14ac:dyDescent="0.35">
      <c r="C265" s="257"/>
    </row>
    <row r="266" spans="3:53" ht="14.25" customHeight="1" x14ac:dyDescent="0.35">
      <c r="C266" s="257"/>
    </row>
    <row r="267" spans="3:53" ht="14.25" customHeight="1" x14ac:dyDescent="0.35">
      <c r="C267" s="257"/>
    </row>
    <row r="268" spans="3:53" ht="14.25" customHeight="1" x14ac:dyDescent="0.35">
      <c r="C268" s="257"/>
    </row>
    <row r="269" spans="3:53" ht="14.25" customHeight="1" x14ac:dyDescent="0.35">
      <c r="C269" s="257"/>
    </row>
    <row r="270" spans="3:53" ht="14.25" customHeight="1" x14ac:dyDescent="0.35">
      <c r="C270" s="257"/>
    </row>
    <row r="271" spans="3:53" ht="14.25" customHeight="1" x14ac:dyDescent="0.35">
      <c r="C271" s="257"/>
    </row>
    <row r="272" spans="3:53" ht="14.25" customHeight="1" x14ac:dyDescent="0.35">
      <c r="C272" s="257"/>
    </row>
    <row r="273" spans="3:3" ht="14.25" customHeight="1" x14ac:dyDescent="0.35">
      <c r="C273" s="257"/>
    </row>
    <row r="274" spans="3:3" ht="14.25" customHeight="1" x14ac:dyDescent="0.35">
      <c r="C274" s="257"/>
    </row>
    <row r="275" spans="3:3" ht="14.25" customHeight="1" x14ac:dyDescent="0.35">
      <c r="C275" s="257"/>
    </row>
    <row r="276" spans="3:3" ht="14.25" customHeight="1" x14ac:dyDescent="0.35">
      <c r="C276" s="257"/>
    </row>
    <row r="277" spans="3:3" ht="14.25" customHeight="1" x14ac:dyDescent="0.35">
      <c r="C277" s="257"/>
    </row>
    <row r="278" spans="3:3" ht="14.25" customHeight="1" x14ac:dyDescent="0.35">
      <c r="C278" s="257"/>
    </row>
    <row r="279" spans="3:3" ht="14.25" customHeight="1" x14ac:dyDescent="0.35">
      <c r="C279" s="257"/>
    </row>
    <row r="280" spans="3:3" ht="14.25" customHeight="1" x14ac:dyDescent="0.35">
      <c r="C280" s="257"/>
    </row>
    <row r="281" spans="3:3" ht="14.25" customHeight="1" x14ac:dyDescent="0.35">
      <c r="C281" s="257"/>
    </row>
    <row r="282" spans="3:3" ht="14.25" customHeight="1" x14ac:dyDescent="0.35">
      <c r="C282" s="257"/>
    </row>
    <row r="283" spans="3:3" ht="14.25" customHeight="1" x14ac:dyDescent="0.35">
      <c r="C283" s="257"/>
    </row>
    <row r="284" spans="3:3" ht="14.25" customHeight="1" x14ac:dyDescent="0.35">
      <c r="C284" s="257"/>
    </row>
    <row r="285" spans="3:3" ht="14.25" customHeight="1" x14ac:dyDescent="0.35">
      <c r="C285" s="257"/>
    </row>
    <row r="286" spans="3:3" ht="14.25" customHeight="1" x14ac:dyDescent="0.35">
      <c r="C286" s="257"/>
    </row>
    <row r="287" spans="3:3" ht="14.25" customHeight="1" x14ac:dyDescent="0.35">
      <c r="C287" s="257"/>
    </row>
    <row r="288" spans="3:3" ht="14.25" customHeight="1" x14ac:dyDescent="0.35">
      <c r="C288" s="257"/>
    </row>
    <row r="289" spans="3:3" ht="14.25" customHeight="1" x14ac:dyDescent="0.35">
      <c r="C289" s="257"/>
    </row>
    <row r="290" spans="3:3" ht="14.25" customHeight="1" x14ac:dyDescent="0.35">
      <c r="C290" s="257"/>
    </row>
    <row r="291" spans="3:3" ht="14.25" customHeight="1" x14ac:dyDescent="0.35">
      <c r="C291" s="257"/>
    </row>
    <row r="292" spans="3:3" ht="14.25" customHeight="1" x14ac:dyDescent="0.35">
      <c r="C292" s="257"/>
    </row>
    <row r="293" spans="3:3" ht="14.25" customHeight="1" x14ac:dyDescent="0.35">
      <c r="C293" s="257"/>
    </row>
    <row r="294" spans="3:3" ht="14.25" customHeight="1" x14ac:dyDescent="0.35">
      <c r="C294" s="257"/>
    </row>
    <row r="295" spans="3:3" ht="14.25" customHeight="1" x14ac:dyDescent="0.35">
      <c r="C295" s="257"/>
    </row>
    <row r="296" spans="3:3" ht="14.25" customHeight="1" x14ac:dyDescent="0.35">
      <c r="C296" s="257"/>
    </row>
    <row r="297" spans="3:3" ht="14.25" customHeight="1" x14ac:dyDescent="0.35">
      <c r="C297" s="257"/>
    </row>
    <row r="298" spans="3:3" ht="14.25" customHeight="1" x14ac:dyDescent="0.35">
      <c r="C298" s="257"/>
    </row>
    <row r="299" spans="3:3" ht="14.25" customHeight="1" x14ac:dyDescent="0.35">
      <c r="C299" s="257"/>
    </row>
    <row r="300" spans="3:3" ht="14.25" customHeight="1" x14ac:dyDescent="0.35">
      <c r="C300" s="257"/>
    </row>
    <row r="301" spans="3:3" ht="14.25" customHeight="1" x14ac:dyDescent="0.35">
      <c r="C301" s="257"/>
    </row>
    <row r="302" spans="3:3" ht="14.25" customHeight="1" x14ac:dyDescent="0.35">
      <c r="C302" s="257"/>
    </row>
    <row r="303" spans="3:3" ht="14.25" customHeight="1" x14ac:dyDescent="0.35">
      <c r="C303" s="257"/>
    </row>
    <row r="304" spans="3:3" ht="14.25" customHeight="1" x14ac:dyDescent="0.35">
      <c r="C304" s="257"/>
    </row>
    <row r="305" spans="3:3" ht="14.25" customHeight="1" x14ac:dyDescent="0.35">
      <c r="C305" s="257"/>
    </row>
    <row r="306" spans="3:3" ht="14.25" customHeight="1" x14ac:dyDescent="0.35">
      <c r="C306" s="257"/>
    </row>
    <row r="307" spans="3:3" ht="14.25" customHeight="1" x14ac:dyDescent="0.35">
      <c r="C307" s="257"/>
    </row>
    <row r="308" spans="3:3" ht="14.25" customHeight="1" x14ac:dyDescent="0.35">
      <c r="C308" s="257"/>
    </row>
    <row r="309" spans="3:3" ht="14.25" customHeight="1" x14ac:dyDescent="0.35">
      <c r="C309" s="257"/>
    </row>
    <row r="310" spans="3:3" ht="14.25" customHeight="1" x14ac:dyDescent="0.35">
      <c r="C310" s="257"/>
    </row>
    <row r="311" spans="3:3" ht="14.25" customHeight="1" x14ac:dyDescent="0.35">
      <c r="C311" s="257"/>
    </row>
    <row r="312" spans="3:3" ht="14.25" customHeight="1" x14ac:dyDescent="0.35">
      <c r="C312" s="257"/>
    </row>
    <row r="313" spans="3:3" ht="14.25" customHeight="1" x14ac:dyDescent="0.35">
      <c r="C313" s="257"/>
    </row>
    <row r="314" spans="3:3" ht="14.25" customHeight="1" x14ac:dyDescent="0.35">
      <c r="C314" s="257"/>
    </row>
    <row r="315" spans="3:3" ht="14.25" customHeight="1" x14ac:dyDescent="0.35">
      <c r="C315" s="257"/>
    </row>
    <row r="316" spans="3:3" ht="14.25" customHeight="1" x14ac:dyDescent="0.35">
      <c r="C316" s="257"/>
    </row>
    <row r="317" spans="3:3" ht="14.25" customHeight="1" x14ac:dyDescent="0.35">
      <c r="C317" s="257"/>
    </row>
    <row r="318" spans="3:3" ht="14.25" customHeight="1" x14ac:dyDescent="0.35">
      <c r="C318" s="257"/>
    </row>
    <row r="319" spans="3:3" ht="14.25" customHeight="1" x14ac:dyDescent="0.35">
      <c r="C319" s="257"/>
    </row>
    <row r="320" spans="3:3" ht="14.25" customHeight="1" x14ac:dyDescent="0.35">
      <c r="C320" s="257"/>
    </row>
    <row r="321" spans="3:3" ht="14.25" customHeight="1" x14ac:dyDescent="0.35">
      <c r="C321" s="257"/>
    </row>
    <row r="322" spans="3:3" ht="14.25" customHeight="1" x14ac:dyDescent="0.35">
      <c r="C322" s="257"/>
    </row>
    <row r="323" spans="3:3" ht="14.25" customHeight="1" x14ac:dyDescent="0.35">
      <c r="C323" s="257"/>
    </row>
    <row r="324" spans="3:3" ht="14.25" customHeight="1" x14ac:dyDescent="0.35">
      <c r="C324" s="257"/>
    </row>
    <row r="325" spans="3:3" ht="14.25" customHeight="1" x14ac:dyDescent="0.35">
      <c r="C325" s="257"/>
    </row>
    <row r="326" spans="3:3" ht="14.25" customHeight="1" x14ac:dyDescent="0.35">
      <c r="C326" s="257"/>
    </row>
    <row r="327" spans="3:3" ht="14.25" customHeight="1" x14ac:dyDescent="0.35">
      <c r="C327" s="257"/>
    </row>
    <row r="328" spans="3:3" ht="14.25" customHeight="1" x14ac:dyDescent="0.35">
      <c r="C328" s="257"/>
    </row>
    <row r="329" spans="3:3" ht="14.25" customHeight="1" x14ac:dyDescent="0.35">
      <c r="C329" s="257"/>
    </row>
    <row r="330" spans="3:3" ht="14.25" customHeight="1" x14ac:dyDescent="0.35">
      <c r="C330" s="257"/>
    </row>
    <row r="331" spans="3:3" ht="14.25" customHeight="1" x14ac:dyDescent="0.35">
      <c r="C331" s="257"/>
    </row>
    <row r="332" spans="3:3" ht="14.25" customHeight="1" x14ac:dyDescent="0.35">
      <c r="C332" s="257"/>
    </row>
    <row r="333" spans="3:3" ht="14.25" customHeight="1" x14ac:dyDescent="0.35">
      <c r="C333" s="257"/>
    </row>
    <row r="334" spans="3:3" ht="14.25" customHeight="1" x14ac:dyDescent="0.35">
      <c r="C334" s="257"/>
    </row>
    <row r="335" spans="3:3" ht="14.25" customHeight="1" x14ac:dyDescent="0.35">
      <c r="C335" s="257"/>
    </row>
    <row r="336" spans="3:3" ht="14.25" customHeight="1" x14ac:dyDescent="0.35">
      <c r="C336" s="257"/>
    </row>
    <row r="337" spans="3:3" ht="14.25" customHeight="1" x14ac:dyDescent="0.35">
      <c r="C337" s="257"/>
    </row>
    <row r="338" spans="3:3" ht="14.25" customHeight="1" x14ac:dyDescent="0.35">
      <c r="C338" s="257"/>
    </row>
    <row r="339" spans="3:3" ht="14.25" customHeight="1" x14ac:dyDescent="0.35">
      <c r="C339" s="257"/>
    </row>
    <row r="340" spans="3:3" ht="14.25" customHeight="1" x14ac:dyDescent="0.35">
      <c r="C340" s="257"/>
    </row>
    <row r="341" spans="3:3" ht="14.25" customHeight="1" x14ac:dyDescent="0.35">
      <c r="C341" s="257"/>
    </row>
    <row r="342" spans="3:3" ht="14.25" customHeight="1" x14ac:dyDescent="0.35">
      <c r="C342" s="257"/>
    </row>
    <row r="343" spans="3:3" ht="14.25" customHeight="1" x14ac:dyDescent="0.35">
      <c r="C343" s="257"/>
    </row>
    <row r="344" spans="3:3" ht="14.25" customHeight="1" x14ac:dyDescent="0.35">
      <c r="C344" s="257"/>
    </row>
    <row r="345" spans="3:3" ht="14.25" customHeight="1" x14ac:dyDescent="0.35">
      <c r="C345" s="257"/>
    </row>
    <row r="346" spans="3:3" ht="14.25" customHeight="1" x14ac:dyDescent="0.35">
      <c r="C346" s="257"/>
    </row>
    <row r="347" spans="3:3" ht="14.25" customHeight="1" x14ac:dyDescent="0.35">
      <c r="C347" s="257"/>
    </row>
    <row r="348" spans="3:3" ht="14.25" customHeight="1" x14ac:dyDescent="0.35">
      <c r="C348" s="257"/>
    </row>
    <row r="349" spans="3:3" ht="14.25" customHeight="1" x14ac:dyDescent="0.35">
      <c r="C349" s="257"/>
    </row>
    <row r="350" spans="3:3" ht="14.25" customHeight="1" x14ac:dyDescent="0.35">
      <c r="C350" s="257"/>
    </row>
    <row r="351" spans="3:3" ht="14.25" customHeight="1" x14ac:dyDescent="0.35">
      <c r="C351" s="257"/>
    </row>
    <row r="352" spans="3:3" ht="14.25" customHeight="1" x14ac:dyDescent="0.35">
      <c r="C352" s="257"/>
    </row>
    <row r="353" spans="3:3" ht="14.25" customHeight="1" x14ac:dyDescent="0.35">
      <c r="C353" s="257"/>
    </row>
    <row r="354" spans="3:3" ht="14.25" customHeight="1" x14ac:dyDescent="0.35">
      <c r="C354" s="257"/>
    </row>
    <row r="355" spans="3:3" ht="14.25" customHeight="1" x14ac:dyDescent="0.35">
      <c r="C355" s="257"/>
    </row>
    <row r="356" spans="3:3" ht="14.25" customHeight="1" x14ac:dyDescent="0.35">
      <c r="C356" s="257"/>
    </row>
    <row r="357" spans="3:3" ht="14.25" customHeight="1" x14ac:dyDescent="0.35">
      <c r="C357" s="257"/>
    </row>
    <row r="358" spans="3:3" ht="14.25" customHeight="1" x14ac:dyDescent="0.35">
      <c r="C358" s="257"/>
    </row>
    <row r="359" spans="3:3" ht="14.25" customHeight="1" x14ac:dyDescent="0.35">
      <c r="C359" s="257"/>
    </row>
    <row r="360" spans="3:3" ht="14.25" customHeight="1" x14ac:dyDescent="0.35">
      <c r="C360" s="257"/>
    </row>
    <row r="361" spans="3:3" ht="14.25" customHeight="1" x14ac:dyDescent="0.35">
      <c r="C361" s="257"/>
    </row>
    <row r="362" spans="3:3" ht="14.25" customHeight="1" x14ac:dyDescent="0.35">
      <c r="C362" s="257"/>
    </row>
    <row r="363" spans="3:3" ht="14.25" customHeight="1" x14ac:dyDescent="0.35">
      <c r="C363" s="257"/>
    </row>
    <row r="364" spans="3:3" ht="14.25" customHeight="1" x14ac:dyDescent="0.35">
      <c r="C364" s="257"/>
    </row>
    <row r="365" spans="3:3" ht="14.25" customHeight="1" x14ac:dyDescent="0.35">
      <c r="C365" s="257"/>
    </row>
    <row r="366" spans="3:3" ht="14.25" customHeight="1" x14ac:dyDescent="0.35">
      <c r="C366" s="257"/>
    </row>
    <row r="367" spans="3:3" ht="14.25" customHeight="1" x14ac:dyDescent="0.35">
      <c r="C367" s="257"/>
    </row>
    <row r="368" spans="3:3" ht="14.25" customHeight="1" x14ac:dyDescent="0.35">
      <c r="C368" s="257"/>
    </row>
    <row r="369" spans="3:3" ht="14.25" customHeight="1" x14ac:dyDescent="0.35">
      <c r="C369" s="257"/>
    </row>
    <row r="370" spans="3:3" ht="14.25" customHeight="1" x14ac:dyDescent="0.35">
      <c r="C370" s="257"/>
    </row>
    <row r="371" spans="3:3" ht="14.25" customHeight="1" x14ac:dyDescent="0.35">
      <c r="C371" s="257"/>
    </row>
    <row r="372" spans="3:3" ht="14.25" customHeight="1" x14ac:dyDescent="0.35">
      <c r="C372" s="257"/>
    </row>
    <row r="373" spans="3:3" ht="14.25" customHeight="1" x14ac:dyDescent="0.35">
      <c r="C373" s="257"/>
    </row>
    <row r="374" spans="3:3" ht="14.25" customHeight="1" x14ac:dyDescent="0.35">
      <c r="C374" s="257"/>
    </row>
    <row r="375" spans="3:3" ht="14.25" customHeight="1" x14ac:dyDescent="0.35">
      <c r="C375" s="257"/>
    </row>
    <row r="376" spans="3:3" ht="14.25" customHeight="1" x14ac:dyDescent="0.35">
      <c r="C376" s="257"/>
    </row>
    <row r="377" spans="3:3" ht="14.25" customHeight="1" x14ac:dyDescent="0.35">
      <c r="C377" s="257"/>
    </row>
    <row r="378" spans="3:3" ht="14.25" customHeight="1" x14ac:dyDescent="0.35">
      <c r="C378" s="257"/>
    </row>
    <row r="379" spans="3:3" ht="14.25" customHeight="1" x14ac:dyDescent="0.35">
      <c r="C379" s="257"/>
    </row>
    <row r="380" spans="3:3" ht="14.25" customHeight="1" x14ac:dyDescent="0.35">
      <c r="C380" s="257"/>
    </row>
    <row r="381" spans="3:3" ht="14.25" customHeight="1" x14ac:dyDescent="0.35">
      <c r="C381" s="257"/>
    </row>
    <row r="382" spans="3:3" ht="14.25" customHeight="1" x14ac:dyDescent="0.35">
      <c r="C382" s="257"/>
    </row>
    <row r="383" spans="3:3" ht="14.25" customHeight="1" x14ac:dyDescent="0.35">
      <c r="C383" s="257"/>
    </row>
    <row r="384" spans="3:3" ht="14.25" customHeight="1" x14ac:dyDescent="0.35">
      <c r="C384" s="257"/>
    </row>
    <row r="385" spans="3:3" ht="14.25" customHeight="1" x14ac:dyDescent="0.35">
      <c r="C385" s="257"/>
    </row>
    <row r="386" spans="3:3" ht="14.25" customHeight="1" x14ac:dyDescent="0.35">
      <c r="C386" s="257"/>
    </row>
    <row r="387" spans="3:3" ht="14.25" customHeight="1" x14ac:dyDescent="0.35">
      <c r="C387" s="257"/>
    </row>
    <row r="388" spans="3:3" ht="14.25" customHeight="1" x14ac:dyDescent="0.35">
      <c r="C388" s="257"/>
    </row>
    <row r="389" spans="3:3" ht="14.25" customHeight="1" x14ac:dyDescent="0.35">
      <c r="C389" s="257"/>
    </row>
    <row r="390" spans="3:3" ht="14.25" customHeight="1" x14ac:dyDescent="0.35">
      <c r="C390" s="257"/>
    </row>
    <row r="391" spans="3:3" ht="14.25" customHeight="1" x14ac:dyDescent="0.35">
      <c r="C391" s="257"/>
    </row>
    <row r="392" spans="3:3" ht="14.25" customHeight="1" x14ac:dyDescent="0.35">
      <c r="C392" s="257"/>
    </row>
    <row r="393" spans="3:3" ht="14.25" customHeight="1" x14ac:dyDescent="0.35">
      <c r="C393" s="257"/>
    </row>
    <row r="394" spans="3:3" ht="14.25" customHeight="1" x14ac:dyDescent="0.35">
      <c r="C394" s="257"/>
    </row>
    <row r="395" spans="3:3" ht="14.25" customHeight="1" x14ac:dyDescent="0.35">
      <c r="C395" s="257"/>
    </row>
    <row r="396" spans="3:3" ht="14.25" customHeight="1" x14ac:dyDescent="0.35">
      <c r="C396" s="257"/>
    </row>
    <row r="397" spans="3:3" ht="14.25" customHeight="1" x14ac:dyDescent="0.35">
      <c r="C397" s="257"/>
    </row>
    <row r="398" spans="3:3" ht="14.25" customHeight="1" x14ac:dyDescent="0.35">
      <c r="C398" s="257"/>
    </row>
    <row r="399" spans="3:3" ht="14.25" customHeight="1" x14ac:dyDescent="0.35">
      <c r="C399" s="257"/>
    </row>
    <row r="400" spans="3:3" ht="14.25" customHeight="1" x14ac:dyDescent="0.35">
      <c r="C400" s="257"/>
    </row>
    <row r="401" spans="3:3" ht="14.25" customHeight="1" x14ac:dyDescent="0.35">
      <c r="C401" s="257"/>
    </row>
    <row r="402" spans="3:3" ht="14.25" customHeight="1" x14ac:dyDescent="0.35">
      <c r="C402" s="257"/>
    </row>
    <row r="403" spans="3:3" ht="14.25" customHeight="1" x14ac:dyDescent="0.35">
      <c r="C403" s="257"/>
    </row>
    <row r="404" spans="3:3" ht="14.25" customHeight="1" x14ac:dyDescent="0.35">
      <c r="C404" s="257"/>
    </row>
    <row r="405" spans="3:3" ht="14.25" customHeight="1" x14ac:dyDescent="0.35">
      <c r="C405" s="257"/>
    </row>
    <row r="406" spans="3:3" ht="14.25" customHeight="1" x14ac:dyDescent="0.35">
      <c r="C406" s="257"/>
    </row>
    <row r="407" spans="3:3" ht="14.25" customHeight="1" x14ac:dyDescent="0.35">
      <c r="C407" s="257"/>
    </row>
    <row r="408" spans="3:3" ht="14.25" customHeight="1" x14ac:dyDescent="0.35">
      <c r="C408" s="257"/>
    </row>
    <row r="409" spans="3:3" ht="14.25" customHeight="1" x14ac:dyDescent="0.35">
      <c r="C409" s="257"/>
    </row>
    <row r="410" spans="3:3" ht="14.25" customHeight="1" x14ac:dyDescent="0.35">
      <c r="C410" s="257"/>
    </row>
    <row r="411" spans="3:3" ht="14.25" customHeight="1" x14ac:dyDescent="0.35">
      <c r="C411" s="257"/>
    </row>
    <row r="412" spans="3:3" ht="14.25" customHeight="1" x14ac:dyDescent="0.35">
      <c r="C412" s="257"/>
    </row>
    <row r="413" spans="3:3" ht="14.25" customHeight="1" x14ac:dyDescent="0.35">
      <c r="C413" s="257"/>
    </row>
    <row r="414" spans="3:3" ht="14.25" customHeight="1" x14ac:dyDescent="0.35">
      <c r="C414" s="257"/>
    </row>
    <row r="415" spans="3:3" ht="14.25" customHeight="1" x14ac:dyDescent="0.35">
      <c r="C415" s="257"/>
    </row>
    <row r="416" spans="3:3" ht="14.25" customHeight="1" x14ac:dyDescent="0.35">
      <c r="C416" s="257"/>
    </row>
    <row r="417" spans="3:3" ht="14.25" customHeight="1" x14ac:dyDescent="0.35">
      <c r="C417" s="257"/>
    </row>
    <row r="418" spans="3:3" ht="14.25" customHeight="1" x14ac:dyDescent="0.35">
      <c r="C418" s="257"/>
    </row>
    <row r="419" spans="3:3" ht="14.25" customHeight="1" x14ac:dyDescent="0.35">
      <c r="C419" s="257"/>
    </row>
    <row r="420" spans="3:3" ht="14.25" customHeight="1" x14ac:dyDescent="0.35">
      <c r="C420" s="257"/>
    </row>
    <row r="421" spans="3:3" ht="14.25" customHeight="1" x14ac:dyDescent="0.35">
      <c r="C421" s="257"/>
    </row>
    <row r="422" spans="3:3" ht="14.25" customHeight="1" x14ac:dyDescent="0.35">
      <c r="C422" s="257"/>
    </row>
    <row r="423" spans="3:3" ht="14.25" customHeight="1" x14ac:dyDescent="0.35">
      <c r="C423" s="257"/>
    </row>
    <row r="424" spans="3:3" ht="14.25" customHeight="1" x14ac:dyDescent="0.35">
      <c r="C424" s="257"/>
    </row>
    <row r="425" spans="3:3" ht="14.25" customHeight="1" x14ac:dyDescent="0.35">
      <c r="C425" s="257"/>
    </row>
    <row r="426" spans="3:3" ht="14.25" customHeight="1" x14ac:dyDescent="0.35">
      <c r="C426" s="257"/>
    </row>
    <row r="427" spans="3:3" ht="14.25" customHeight="1" x14ac:dyDescent="0.35">
      <c r="C427" s="257"/>
    </row>
    <row r="428" spans="3:3" ht="14.25" customHeight="1" x14ac:dyDescent="0.35">
      <c r="C428" s="257"/>
    </row>
    <row r="429" spans="3:3" ht="14.25" customHeight="1" x14ac:dyDescent="0.35">
      <c r="C429" s="257"/>
    </row>
    <row r="430" spans="3:3" ht="14.25" customHeight="1" x14ac:dyDescent="0.35">
      <c r="C430" s="257"/>
    </row>
    <row r="431" spans="3:3" ht="14.25" customHeight="1" x14ac:dyDescent="0.35">
      <c r="C431" s="257"/>
    </row>
    <row r="432" spans="3:3" ht="14.25" customHeight="1" x14ac:dyDescent="0.35">
      <c r="C432" s="257"/>
    </row>
    <row r="433" spans="3:3" ht="14.25" customHeight="1" x14ac:dyDescent="0.35">
      <c r="C433" s="257"/>
    </row>
    <row r="434" spans="3:3" ht="14.25" customHeight="1" x14ac:dyDescent="0.35">
      <c r="C434" s="257"/>
    </row>
    <row r="435" spans="3:3" ht="14.25" customHeight="1" x14ac:dyDescent="0.35">
      <c r="C435" s="257"/>
    </row>
    <row r="436" spans="3:3" ht="14.25" customHeight="1" x14ac:dyDescent="0.35">
      <c r="C436" s="257"/>
    </row>
    <row r="437" spans="3:3" ht="14.25" customHeight="1" x14ac:dyDescent="0.35">
      <c r="C437" s="257"/>
    </row>
    <row r="438" spans="3:3" ht="14.25" customHeight="1" x14ac:dyDescent="0.35">
      <c r="C438" s="257"/>
    </row>
    <row r="439" spans="3:3" ht="14.25" customHeight="1" x14ac:dyDescent="0.35">
      <c r="C439" s="257"/>
    </row>
    <row r="440" spans="3:3" ht="14.25" customHeight="1" x14ac:dyDescent="0.35">
      <c r="C440" s="257"/>
    </row>
    <row r="441" spans="3:3" ht="14.25" customHeight="1" x14ac:dyDescent="0.35">
      <c r="C441" s="257"/>
    </row>
    <row r="442" spans="3:3" ht="14.25" customHeight="1" x14ac:dyDescent="0.35">
      <c r="C442" s="257"/>
    </row>
    <row r="443" spans="3:3" ht="14.25" customHeight="1" x14ac:dyDescent="0.35">
      <c r="C443" s="257"/>
    </row>
    <row r="444" spans="3:3" ht="14.25" customHeight="1" x14ac:dyDescent="0.35">
      <c r="C444" s="257"/>
    </row>
    <row r="445" spans="3:3" ht="14.25" customHeight="1" x14ac:dyDescent="0.35">
      <c r="C445" s="257"/>
    </row>
    <row r="446" spans="3:3" ht="14.25" customHeight="1" x14ac:dyDescent="0.35">
      <c r="C446" s="257"/>
    </row>
    <row r="447" spans="3:3" ht="14.25" customHeight="1" x14ac:dyDescent="0.35">
      <c r="C447" s="257"/>
    </row>
    <row r="448" spans="3:3" ht="14.25" customHeight="1" x14ac:dyDescent="0.35">
      <c r="C448" s="257"/>
    </row>
    <row r="449" spans="3:3" ht="14.25" customHeight="1" x14ac:dyDescent="0.35">
      <c r="C449" s="257"/>
    </row>
    <row r="450" spans="3:3" ht="14.25" customHeight="1" x14ac:dyDescent="0.35">
      <c r="C450" s="257"/>
    </row>
    <row r="451" spans="3:3" ht="14.25" customHeight="1" x14ac:dyDescent="0.35">
      <c r="C451" s="257"/>
    </row>
    <row r="452" spans="3:3" ht="14.25" customHeight="1" x14ac:dyDescent="0.35">
      <c r="C452" s="257"/>
    </row>
    <row r="453" spans="3:3" ht="14.25" customHeight="1" x14ac:dyDescent="0.35">
      <c r="C453" s="257"/>
    </row>
    <row r="454" spans="3:3" ht="14.25" customHeight="1" x14ac:dyDescent="0.35">
      <c r="C454" s="257"/>
    </row>
    <row r="455" spans="3:3" ht="14.25" customHeight="1" x14ac:dyDescent="0.35">
      <c r="C455" s="257"/>
    </row>
    <row r="456" spans="3:3" ht="14.25" customHeight="1" x14ac:dyDescent="0.35">
      <c r="C456" s="257"/>
    </row>
    <row r="457" spans="3:3" ht="14.25" customHeight="1" x14ac:dyDescent="0.35">
      <c r="C457" s="257"/>
    </row>
    <row r="458" spans="3:3" ht="14.25" customHeight="1" x14ac:dyDescent="0.35">
      <c r="C458" s="257"/>
    </row>
    <row r="459" spans="3:3" ht="14.25" customHeight="1" x14ac:dyDescent="0.35">
      <c r="C459" s="257"/>
    </row>
    <row r="460" spans="3:3" ht="14.25" customHeight="1" x14ac:dyDescent="0.35"/>
    <row r="461" spans="3:3" ht="14.25" customHeight="1" x14ac:dyDescent="0.35"/>
    <row r="462" spans="3:3" ht="14.25" customHeight="1" x14ac:dyDescent="0.35"/>
    <row r="463" spans="3:3" ht="14.25" customHeight="1" x14ac:dyDescent="0.35"/>
    <row r="464" spans="3:3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14">
    <mergeCell ref="S19:U19"/>
    <mergeCell ref="C1:E2"/>
    <mergeCell ref="C19:E19"/>
    <mergeCell ref="G19:I19"/>
    <mergeCell ref="K19:M19"/>
    <mergeCell ref="O19:Q19"/>
    <mergeCell ref="AU19:AW19"/>
    <mergeCell ref="AY19:BA19"/>
    <mergeCell ref="W19:Y19"/>
    <mergeCell ref="AA19:AC19"/>
    <mergeCell ref="AE19:AG19"/>
    <mergeCell ref="AI19:AK19"/>
    <mergeCell ref="AM19:AO19"/>
    <mergeCell ref="AQ19:AS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E17E-8758-41AA-8CAB-9A4B923BA206}">
  <dimension ref="A1:L32"/>
  <sheetViews>
    <sheetView showGridLines="0" zoomScale="50" zoomScaleNormal="140" workbookViewId="0">
      <selection activeCell="M15" sqref="M15"/>
    </sheetView>
  </sheetViews>
  <sheetFormatPr defaultRowHeight="14.5" x14ac:dyDescent="0.35"/>
  <cols>
    <col min="1" max="1" width="31.6328125" bestFit="1" customWidth="1"/>
    <col min="2" max="5" width="12.08984375" bestFit="1" customWidth="1"/>
    <col min="6" max="6" width="11.90625" bestFit="1" customWidth="1"/>
    <col min="7" max="7" width="11.90625" customWidth="1"/>
    <col min="8" max="12" width="12.08984375" bestFit="1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x14ac:dyDescent="0.35">
      <c r="A3" s="48" t="s">
        <v>119</v>
      </c>
      <c r="B3" s="12" t="s">
        <v>15</v>
      </c>
      <c r="C3" s="12" t="s">
        <v>15</v>
      </c>
      <c r="D3" s="12" t="s">
        <v>15</v>
      </c>
      <c r="E3" s="12" t="s">
        <v>15</v>
      </c>
      <c r="F3" s="12" t="s">
        <v>16</v>
      </c>
      <c r="G3" s="53"/>
      <c r="H3" s="13" t="s">
        <v>16</v>
      </c>
      <c r="I3" s="13" t="s">
        <v>15</v>
      </c>
      <c r="J3" s="13" t="s">
        <v>15</v>
      </c>
      <c r="K3" s="13" t="s">
        <v>15</v>
      </c>
      <c r="L3" s="13" t="s">
        <v>15</v>
      </c>
    </row>
    <row r="4" spans="1:12" x14ac:dyDescent="0.35">
      <c r="A4" s="49"/>
      <c r="B4" s="14" t="s">
        <v>17</v>
      </c>
      <c r="C4" s="14" t="s">
        <v>18</v>
      </c>
      <c r="D4" s="14" t="s">
        <v>19</v>
      </c>
      <c r="E4" s="14" t="s">
        <v>20</v>
      </c>
      <c r="F4" s="99" t="s">
        <v>136</v>
      </c>
      <c r="G4" s="54"/>
      <c r="H4" s="100" t="s">
        <v>21</v>
      </c>
      <c r="I4" s="15" t="s">
        <v>22</v>
      </c>
      <c r="J4" s="15" t="s">
        <v>23</v>
      </c>
      <c r="K4" s="15" t="s">
        <v>24</v>
      </c>
      <c r="L4" s="15" t="s">
        <v>25</v>
      </c>
    </row>
    <row r="5" spans="1:12" x14ac:dyDescent="0.35">
      <c r="A5" s="50" t="s">
        <v>120</v>
      </c>
      <c r="B5">
        <v>17589</v>
      </c>
      <c r="C5">
        <f>B9</f>
        <v>19305</v>
      </c>
      <c r="D5">
        <f t="shared" ref="D5:F5" si="0">C9</f>
        <v>21369</v>
      </c>
      <c r="E5">
        <f t="shared" si="0"/>
        <v>22407</v>
      </c>
      <c r="F5">
        <f t="shared" si="0"/>
        <v>24291</v>
      </c>
      <c r="H5">
        <f>F9</f>
        <v>24500</v>
      </c>
      <c r="I5" s="21">
        <f>H9</f>
        <v>29585.984804277763</v>
      </c>
      <c r="J5" s="21">
        <f t="shared" ref="J5:L5" si="1">I9</f>
        <v>30294.778279987138</v>
      </c>
      <c r="K5" s="21">
        <f t="shared" si="1"/>
        <v>32827.916441390807</v>
      </c>
      <c r="L5" s="21">
        <f t="shared" si="1"/>
        <v>35581.071080687616</v>
      </c>
    </row>
    <row r="6" spans="1:12" x14ac:dyDescent="0.35">
      <c r="A6" s="50" t="s">
        <v>121</v>
      </c>
      <c r="B6" s="58">
        <f>B7-B5</f>
        <v>4067</v>
      </c>
      <c r="C6" s="58">
        <f>C7-C5</f>
        <v>4522</v>
      </c>
      <c r="D6" s="58">
        <f t="shared" ref="D6:F6" si="2">D7-D5</f>
        <v>3657</v>
      </c>
      <c r="E6" s="58">
        <f>E7-E5</f>
        <v>4569</v>
      </c>
      <c r="F6" s="58">
        <f t="shared" si="2"/>
        <v>1435.6513877988909</v>
      </c>
      <c r="H6" s="58">
        <f>H7-H5</f>
        <v>6708.4558553002753</v>
      </c>
      <c r="I6" s="58">
        <f t="shared" ref="I6:L6" si="3">I7-I5</f>
        <v>4224.2601792242604</v>
      </c>
      <c r="J6" s="58">
        <f t="shared" si="3"/>
        <v>6342.5552869851999</v>
      </c>
      <c r="K6" s="58">
        <f t="shared" si="3"/>
        <v>6882.0533393802107</v>
      </c>
      <c r="L6" s="58">
        <f t="shared" si="3"/>
        <v>7469.2154886825665</v>
      </c>
    </row>
    <row r="7" spans="1:12" x14ac:dyDescent="0.35">
      <c r="A7" s="50" t="s">
        <v>122</v>
      </c>
      <c r="B7" s="59">
        <f>B9+B8</f>
        <v>21656</v>
      </c>
      <c r="C7" s="59">
        <f t="shared" ref="C7:F7" si="4">C9+C8</f>
        <v>23827</v>
      </c>
      <c r="D7" s="59">
        <f t="shared" si="4"/>
        <v>25026</v>
      </c>
      <c r="E7" s="59">
        <f>E9+E8</f>
        <v>26976</v>
      </c>
      <c r="F7" s="59">
        <f t="shared" si="4"/>
        <v>25726.651387798891</v>
      </c>
      <c r="H7" s="46">
        <f>'PepsiCo-IS'!H6/'Fixed Assets Schedule'!H13</f>
        <v>31208.455855300275</v>
      </c>
      <c r="I7" s="46">
        <f>'PepsiCo-IS'!I6/'Fixed Assets Schedule'!I13</f>
        <v>33810.244983502023</v>
      </c>
      <c r="J7" s="46">
        <f>'PepsiCo-IS'!J6/'Fixed Assets Schedule'!J13</f>
        <v>36637.333566972338</v>
      </c>
      <c r="K7" s="46">
        <f>'PepsiCo-IS'!K6/'Fixed Assets Schedule'!K13</f>
        <v>39709.969780771018</v>
      </c>
      <c r="L7" s="46">
        <f>'PepsiCo-IS'!L6/'Fixed Assets Schedule'!L13</f>
        <v>43050.286569370182</v>
      </c>
    </row>
    <row r="8" spans="1:12" x14ac:dyDescent="0.35">
      <c r="A8" s="50" t="s">
        <v>123</v>
      </c>
      <c r="B8" s="58">
        <f>B20</f>
        <v>2351</v>
      </c>
      <c r="C8" s="58">
        <f t="shared" ref="C8:F8" si="5">C20</f>
        <v>2458</v>
      </c>
      <c r="D8" s="58">
        <f t="shared" si="5"/>
        <v>2619</v>
      </c>
      <c r="E8" s="58">
        <f t="shared" si="5"/>
        <v>2685</v>
      </c>
      <c r="F8" s="58">
        <f t="shared" si="5"/>
        <v>1226.6513877988891</v>
      </c>
      <c r="H8" s="21">
        <f>H7*H15/2</f>
        <v>1622.4710510225125</v>
      </c>
      <c r="I8" s="21">
        <f>I7*I15</f>
        <v>3515.4667035148864</v>
      </c>
      <c r="J8" s="21">
        <f t="shared" ref="J8:L8" si="6">J7*J15</f>
        <v>3809.4171255815277</v>
      </c>
      <c r="K8" s="21">
        <f t="shared" si="6"/>
        <v>4128.8987000834013</v>
      </c>
      <c r="L8" s="21">
        <f t="shared" si="6"/>
        <v>4476.2127303497336</v>
      </c>
    </row>
    <row r="9" spans="1:12" ht="15" thickBot="1" x14ac:dyDescent="0.4">
      <c r="A9" s="50" t="s">
        <v>124</v>
      </c>
      <c r="B9" s="55">
        <f>'PepsiCo-BS'!B13</f>
        <v>19305</v>
      </c>
      <c r="C9" s="55">
        <f>'PepsiCo-BS'!C13</f>
        <v>21369</v>
      </c>
      <c r="D9" s="55">
        <f>'PepsiCo-BS'!D13</f>
        <v>22407</v>
      </c>
      <c r="E9" s="55">
        <f>'PepsiCo-BS'!E13</f>
        <v>24291</v>
      </c>
      <c r="F9" s="55">
        <f>'PepsiCo-BS'!F13</f>
        <v>24500</v>
      </c>
      <c r="H9" s="64">
        <f>H7-H8</f>
        <v>29585.984804277763</v>
      </c>
      <c r="I9" s="64">
        <f t="shared" ref="I9:L9" si="7">I7-I8</f>
        <v>30294.778279987138</v>
      </c>
      <c r="J9" s="64">
        <f t="shared" si="7"/>
        <v>32827.916441390807</v>
      </c>
      <c r="K9" s="64">
        <f t="shared" si="7"/>
        <v>35581.071080687616</v>
      </c>
      <c r="L9" s="64">
        <f t="shared" si="7"/>
        <v>38574.07383902045</v>
      </c>
    </row>
    <row r="10" spans="1:12" ht="15" thickTop="1" x14ac:dyDescent="0.35">
      <c r="A10" s="51" t="s">
        <v>13</v>
      </c>
      <c r="H10" s="292" t="s">
        <v>29</v>
      </c>
      <c r="I10" s="293"/>
      <c r="J10" s="293"/>
      <c r="K10" s="293"/>
      <c r="L10" s="294"/>
    </row>
    <row r="11" spans="1:12" x14ac:dyDescent="0.35">
      <c r="A11" s="50"/>
    </row>
    <row r="12" spans="1:12" x14ac:dyDescent="0.35">
      <c r="A12" s="50"/>
    </row>
    <row r="13" spans="1:12" x14ac:dyDescent="0.35">
      <c r="A13" s="50" t="s">
        <v>125</v>
      </c>
      <c r="B13" s="19">
        <f>'PepsiCo-IS'!B6/'Fixed Assets Schedule'!B7</f>
        <v>3.1012652382711487</v>
      </c>
      <c r="C13" s="19">
        <f>'PepsiCo-IS'!C6/'Fixed Assets Schedule'!C7</f>
        <v>2.9534561631762286</v>
      </c>
      <c r="D13" s="19">
        <f>'PepsiCo-IS'!D6/'Fixed Assets Schedule'!D7</f>
        <v>3.1756573163909536</v>
      </c>
      <c r="E13" s="19">
        <f>'PepsiCo-IS'!E6/'Fixed Assets Schedule'!E7</f>
        <v>3.2025504151838673</v>
      </c>
      <c r="F13" s="19">
        <f>'PepsiCo-IS'!F6/'Fixed Assets Schedule'!F7</f>
        <v>1.5613380612390952</v>
      </c>
      <c r="H13" s="62">
        <f>AVERAGE(B13:E13)</f>
        <v>3.1082322832555498</v>
      </c>
      <c r="I13" s="63">
        <f>H13</f>
        <v>3.1082322832555498</v>
      </c>
      <c r="J13" s="63">
        <f t="shared" ref="J13:L13" si="8">I13</f>
        <v>3.1082322832555498</v>
      </c>
      <c r="K13" s="63">
        <f t="shared" si="8"/>
        <v>3.1082322832555498</v>
      </c>
      <c r="L13" s="63">
        <f t="shared" si="8"/>
        <v>3.1082322832555498</v>
      </c>
    </row>
    <row r="14" spans="1:12" x14ac:dyDescent="0.35">
      <c r="A14" s="50"/>
    </row>
    <row r="15" spans="1:12" x14ac:dyDescent="0.35">
      <c r="A15" s="50" t="s">
        <v>126</v>
      </c>
      <c r="B15" s="17">
        <f>B8/B7</f>
        <v>0.10856113779091245</v>
      </c>
      <c r="C15" s="17">
        <f t="shared" ref="C15:F15" si="9">C8/C7</f>
        <v>0.10316028035422001</v>
      </c>
      <c r="D15" s="17">
        <f t="shared" si="9"/>
        <v>0.10465116279069768</v>
      </c>
      <c r="E15" s="17">
        <f t="shared" si="9"/>
        <v>9.9532918149466187E-2</v>
      </c>
      <c r="F15" s="17">
        <f t="shared" si="9"/>
        <v>4.7680180731979764E-2</v>
      </c>
      <c r="H15" s="61">
        <f>AVERAGE(B15:E15)</f>
        <v>0.10397637477132408</v>
      </c>
      <c r="I15" s="57">
        <f>H15</f>
        <v>0.10397637477132408</v>
      </c>
      <c r="J15" s="57">
        <f t="shared" ref="J15:L15" si="10">I15</f>
        <v>0.10397637477132408</v>
      </c>
      <c r="K15" s="57">
        <f t="shared" si="10"/>
        <v>0.10397637477132408</v>
      </c>
      <c r="L15" s="57">
        <f t="shared" si="10"/>
        <v>0.10397637477132408</v>
      </c>
    </row>
    <row r="16" spans="1:12" x14ac:dyDescent="0.35">
      <c r="A16" s="50"/>
    </row>
    <row r="17" spans="1:12" x14ac:dyDescent="0.35">
      <c r="A17" s="50"/>
    </row>
    <row r="18" spans="1:12" x14ac:dyDescent="0.35">
      <c r="A18" s="52" t="s">
        <v>37</v>
      </c>
      <c r="B18" s="21">
        <f>'PepsiCo-IS'!B11</f>
        <v>2196</v>
      </c>
      <c r="C18" s="21">
        <f>'PepsiCo-IS'!C11</f>
        <v>2331</v>
      </c>
      <c r="D18" s="21">
        <f>'PepsiCo-IS'!D11</f>
        <v>2496</v>
      </c>
      <c r="E18" s="21">
        <f>'PepsiCo-IS'!E11</f>
        <v>2564</v>
      </c>
      <c r="F18" s="21">
        <f>'PepsiCo-IS'!F11</f>
        <v>1162.3774190267345</v>
      </c>
      <c r="G18" s="60">
        <f>AVERAGE(B21:F21)</f>
        <v>0.94759500169965882</v>
      </c>
      <c r="H18" s="21">
        <f>$G$18*H20</f>
        <v>1537.445458351325</v>
      </c>
      <c r="I18" s="21">
        <f t="shared" ref="I18:L18" si="11">$G$18*I20</f>
        <v>3331.2386768922829</v>
      </c>
      <c r="J18" s="21">
        <f t="shared" si="11"/>
        <v>3609.784627590137</v>
      </c>
      <c r="K18" s="21">
        <f t="shared" si="11"/>
        <v>3912.52377072325</v>
      </c>
      <c r="L18" s="21">
        <f t="shared" si="11"/>
        <v>4241.6368098237899</v>
      </c>
    </row>
    <row r="19" spans="1:12" x14ac:dyDescent="0.35">
      <c r="A19" s="52" t="s">
        <v>42</v>
      </c>
      <c r="B19" s="21">
        <f>'PepsiCo-IS'!B19</f>
        <v>155</v>
      </c>
      <c r="C19" s="21">
        <f>'PepsiCo-IS'!C19</f>
        <v>127</v>
      </c>
      <c r="D19" s="21">
        <f>'PepsiCo-IS'!D19</f>
        <v>123</v>
      </c>
      <c r="E19" s="21">
        <f>'PepsiCo-IS'!E19</f>
        <v>121</v>
      </c>
      <c r="F19" s="21">
        <f>'PepsiCo-IS'!F19</f>
        <v>64.273968772154646</v>
      </c>
      <c r="H19" s="21">
        <f>H20-H18</f>
        <v>85.025592671187496</v>
      </c>
      <c r="I19" s="21">
        <f t="shared" ref="I19:L19" si="12">I20-I18</f>
        <v>184.22802662260347</v>
      </c>
      <c r="J19" s="21">
        <f t="shared" si="12"/>
        <v>199.63249799139066</v>
      </c>
      <c r="K19" s="21">
        <f t="shared" si="12"/>
        <v>216.37492936015133</v>
      </c>
      <c r="L19" s="21">
        <f t="shared" si="12"/>
        <v>234.57592052594373</v>
      </c>
    </row>
    <row r="20" spans="1:12" x14ac:dyDescent="0.35">
      <c r="A20" s="50"/>
      <c r="B20" s="59">
        <f>B18+B19</f>
        <v>2351</v>
      </c>
      <c r="C20" s="59">
        <f t="shared" ref="C20:F20" si="13">C18+C19</f>
        <v>2458</v>
      </c>
      <c r="D20" s="59">
        <f t="shared" si="13"/>
        <v>2619</v>
      </c>
      <c r="E20" s="59">
        <f t="shared" si="13"/>
        <v>2685</v>
      </c>
      <c r="F20" s="59">
        <f t="shared" si="13"/>
        <v>1226.6513877988891</v>
      </c>
      <c r="H20" s="59">
        <f>H8</f>
        <v>1622.4710510225125</v>
      </c>
      <c r="I20" s="59">
        <f t="shared" ref="I20:L20" si="14">I8</f>
        <v>3515.4667035148864</v>
      </c>
      <c r="J20" s="59">
        <f t="shared" si="14"/>
        <v>3809.4171255815277</v>
      </c>
      <c r="K20" s="59">
        <f t="shared" si="14"/>
        <v>4128.8987000834013</v>
      </c>
      <c r="L20" s="59">
        <f t="shared" si="14"/>
        <v>4476.2127303497336</v>
      </c>
    </row>
    <row r="21" spans="1:12" x14ac:dyDescent="0.35">
      <c r="A21" s="50"/>
      <c r="B21" s="56">
        <f>B18/B20</f>
        <v>0.93407060825180777</v>
      </c>
      <c r="C21" s="56">
        <f t="shared" ref="C21:F21" si="15">C18/C20</f>
        <v>0.94833197721724982</v>
      </c>
      <c r="D21" s="56">
        <f t="shared" si="15"/>
        <v>0.95303550973654061</v>
      </c>
      <c r="E21" s="56">
        <f t="shared" si="15"/>
        <v>0.95493482309124766</v>
      </c>
      <c r="F21" s="56">
        <f t="shared" si="15"/>
        <v>0.94760209020144814</v>
      </c>
    </row>
    <row r="22" spans="1:12" x14ac:dyDescent="0.35">
      <c r="A22" s="48" t="s">
        <v>78</v>
      </c>
      <c r="B22" s="12" t="s">
        <v>15</v>
      </c>
      <c r="C22" s="12" t="s">
        <v>15</v>
      </c>
      <c r="D22" s="12" t="s">
        <v>15</v>
      </c>
      <c r="E22" s="12" t="s">
        <v>15</v>
      </c>
      <c r="F22" s="12" t="s">
        <v>16</v>
      </c>
      <c r="G22" s="53"/>
      <c r="H22" s="13" t="s">
        <v>16</v>
      </c>
      <c r="I22" s="13" t="s">
        <v>15</v>
      </c>
      <c r="J22" s="13" t="s">
        <v>15</v>
      </c>
      <c r="K22" s="13" t="s">
        <v>15</v>
      </c>
      <c r="L22" s="13" t="s">
        <v>15</v>
      </c>
    </row>
    <row r="23" spans="1:12" x14ac:dyDescent="0.35">
      <c r="A23" s="49"/>
      <c r="B23" s="14" t="s">
        <v>17</v>
      </c>
      <c r="C23" s="14" t="s">
        <v>18</v>
      </c>
      <c r="D23" s="14" t="s">
        <v>19</v>
      </c>
      <c r="E23" s="14" t="s">
        <v>20</v>
      </c>
      <c r="F23" s="14" t="s">
        <v>136</v>
      </c>
      <c r="G23" s="54"/>
      <c r="H23" s="15" t="s">
        <v>21</v>
      </c>
      <c r="I23" s="15" t="s">
        <v>22</v>
      </c>
      <c r="J23" s="15" t="s">
        <v>23</v>
      </c>
      <c r="K23" s="15" t="s">
        <v>24</v>
      </c>
      <c r="L23" s="15" t="s">
        <v>25</v>
      </c>
    </row>
    <row r="24" spans="1:12" x14ac:dyDescent="0.35">
      <c r="A24" s="50" t="s">
        <v>120</v>
      </c>
      <c r="C24">
        <f>B28</f>
        <v>1433</v>
      </c>
      <c r="D24">
        <f t="shared" ref="D24:F24" si="16">C28</f>
        <v>1703</v>
      </c>
      <c r="E24">
        <f t="shared" si="16"/>
        <v>1538</v>
      </c>
      <c r="F24">
        <f t="shared" si="16"/>
        <v>1277</v>
      </c>
      <c r="H24" s="65">
        <f>F28</f>
        <v>1232</v>
      </c>
      <c r="I24" s="21">
        <f>H28</f>
        <v>1198.5630684652617</v>
      </c>
      <c r="J24" s="21">
        <f t="shared" ref="J24:L24" si="17">I28</f>
        <v>1133.5041865491273</v>
      </c>
      <c r="K24" s="21">
        <f t="shared" si="17"/>
        <v>1071.9767484322726</v>
      </c>
      <c r="L24" s="21">
        <f t="shared" si="17"/>
        <v>1013.7890647566861</v>
      </c>
    </row>
    <row r="25" spans="1:12" x14ac:dyDescent="0.35">
      <c r="A25" s="50" t="s">
        <v>121</v>
      </c>
      <c r="B25" s="58">
        <f>B26-B24</f>
        <v>1514</v>
      </c>
      <c r="C25" s="58">
        <f t="shared" ref="C25:F25" si="18">C26-C24</f>
        <v>360</v>
      </c>
      <c r="D25" s="58">
        <f t="shared" si="18"/>
        <v>-74</v>
      </c>
      <c r="E25" s="58">
        <f t="shared" si="18"/>
        <v>-183</v>
      </c>
      <c r="F25" s="58">
        <f t="shared" si="18"/>
        <v>-3.6513877988891181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</row>
    <row r="26" spans="1:12" x14ac:dyDescent="0.35">
      <c r="A26" s="50" t="s">
        <v>127</v>
      </c>
      <c r="B26" s="59">
        <f>B28+B27</f>
        <v>1514</v>
      </c>
      <c r="C26" s="59">
        <f t="shared" ref="C26:F26" si="19">C28+C27</f>
        <v>1793</v>
      </c>
      <c r="D26" s="59">
        <f t="shared" si="19"/>
        <v>1629</v>
      </c>
      <c r="E26" s="59">
        <f t="shared" si="19"/>
        <v>1355</v>
      </c>
      <c r="F26" s="59">
        <f t="shared" si="19"/>
        <v>1273.3486122011109</v>
      </c>
      <c r="H26" s="46">
        <f>H24+H25</f>
        <v>1232</v>
      </c>
      <c r="I26" s="46">
        <f t="shared" ref="I26:L26" si="20">I24+I25</f>
        <v>1198.5630684652617</v>
      </c>
      <c r="J26" s="46">
        <f t="shared" si="20"/>
        <v>1133.5041865491273</v>
      </c>
      <c r="K26" s="46">
        <f t="shared" si="20"/>
        <v>1071.9767484322726</v>
      </c>
      <c r="L26" s="46">
        <f t="shared" si="20"/>
        <v>1013.7890647566861</v>
      </c>
    </row>
    <row r="27" spans="1:12" x14ac:dyDescent="0.35">
      <c r="A27" s="50" t="s">
        <v>128</v>
      </c>
      <c r="B27" s="21">
        <f>'PepsiCo-IS'!B20</f>
        <v>81</v>
      </c>
      <c r="C27" s="21">
        <f>'PepsiCo-IS'!C20</f>
        <v>90</v>
      </c>
      <c r="D27" s="21">
        <f>'PepsiCo-IS'!D20</f>
        <v>91</v>
      </c>
      <c r="E27" s="21">
        <f>'PepsiCo-IS'!E20</f>
        <v>78</v>
      </c>
      <c r="F27" s="21">
        <f>'PepsiCo-IS'!F20</f>
        <v>41.348612201110946</v>
      </c>
      <c r="H27" s="66">
        <f>H26*H32/2</f>
        <v>33.436931534738328</v>
      </c>
      <c r="I27" s="66">
        <f>I26*I32</f>
        <v>65.058881916134482</v>
      </c>
      <c r="J27" s="66">
        <f t="shared" ref="J27:L27" si="21">J26*J32</f>
        <v>61.527438116854597</v>
      </c>
      <c r="K27" s="66">
        <f t="shared" si="21"/>
        <v>58.187683675586548</v>
      </c>
      <c r="L27" s="66">
        <f t="shared" si="21"/>
        <v>55.029213553467073</v>
      </c>
    </row>
    <row r="28" spans="1:12" ht="15" thickBot="1" x14ac:dyDescent="0.4">
      <c r="A28" s="50" t="s">
        <v>124</v>
      </c>
      <c r="B28" s="55">
        <f>'PepsiCo-BS'!B14</f>
        <v>1433</v>
      </c>
      <c r="C28" s="55">
        <f>'PepsiCo-BS'!C14</f>
        <v>1703</v>
      </c>
      <c r="D28" s="55">
        <f>'PepsiCo-BS'!D14</f>
        <v>1538</v>
      </c>
      <c r="E28" s="55">
        <f>'PepsiCo-BS'!E14</f>
        <v>1277</v>
      </c>
      <c r="F28" s="55">
        <f>'PepsiCo-BS'!F14</f>
        <v>1232</v>
      </c>
      <c r="H28" s="47">
        <f>H26-H27</f>
        <v>1198.5630684652617</v>
      </c>
      <c r="I28" s="47">
        <f t="shared" ref="I28:L28" si="22">I26-I27</f>
        <v>1133.5041865491273</v>
      </c>
      <c r="J28" s="47">
        <f t="shared" si="22"/>
        <v>1071.9767484322726</v>
      </c>
      <c r="K28" s="47">
        <f t="shared" si="22"/>
        <v>1013.7890647566861</v>
      </c>
      <c r="L28" s="47">
        <f t="shared" si="22"/>
        <v>958.759851203219</v>
      </c>
    </row>
    <row r="29" spans="1:12" ht="15" thickTop="1" x14ac:dyDescent="0.35">
      <c r="A29" s="51" t="s">
        <v>13</v>
      </c>
      <c r="H29" s="292" t="s">
        <v>29</v>
      </c>
      <c r="I29" s="293"/>
      <c r="J29" s="293"/>
      <c r="K29" s="293"/>
      <c r="L29" s="294"/>
    </row>
    <row r="30" spans="1:12" x14ac:dyDescent="0.35">
      <c r="A30" s="50"/>
    </row>
    <row r="31" spans="1:12" x14ac:dyDescent="0.35">
      <c r="A31" s="50"/>
    </row>
    <row r="32" spans="1:12" x14ac:dyDescent="0.35">
      <c r="A32" s="50" t="s">
        <v>129</v>
      </c>
      <c r="B32" s="17">
        <f>B27/B26</f>
        <v>5.3500660501981503E-2</v>
      </c>
      <c r="C32" s="17">
        <f t="shared" ref="C32:E32" si="23">C27/C26</f>
        <v>5.01952035694367E-2</v>
      </c>
      <c r="D32" s="17">
        <f t="shared" si="23"/>
        <v>5.5862492326580727E-2</v>
      </c>
      <c r="E32" s="17">
        <f t="shared" si="23"/>
        <v>5.7564575645756455E-2</v>
      </c>
      <c r="F32" s="21"/>
      <c r="H32" s="61">
        <f>AVERAGE(B32:E32)</f>
        <v>5.4280733010938845E-2</v>
      </c>
      <c r="I32" s="57">
        <f>H32</f>
        <v>5.4280733010938845E-2</v>
      </c>
      <c r="J32" s="57">
        <f t="shared" ref="J32:L32" si="24">I32</f>
        <v>5.4280733010938845E-2</v>
      </c>
      <c r="K32" s="57">
        <f t="shared" si="24"/>
        <v>5.4280733010938845E-2</v>
      </c>
      <c r="L32" s="57">
        <f t="shared" si="24"/>
        <v>5.4280733010938845E-2</v>
      </c>
    </row>
  </sheetData>
  <mergeCells count="2">
    <mergeCell ref="H10:L10"/>
    <mergeCell ref="H29:L29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1F33-0FCE-44E2-BA0B-208B6401F6A2}">
  <dimension ref="A1:M70"/>
  <sheetViews>
    <sheetView showGridLines="0" zoomScale="90" zoomScaleNormal="14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9" sqref="D39"/>
    </sheetView>
  </sheetViews>
  <sheetFormatPr defaultRowHeight="14.5" x14ac:dyDescent="0.35"/>
  <cols>
    <col min="1" max="1" width="49.54296875" bestFit="1" customWidth="1"/>
    <col min="2" max="5" width="12.08984375" bestFit="1" customWidth="1"/>
    <col min="6" max="6" width="11.90625" bestFit="1" customWidth="1"/>
    <col min="7" max="11" width="12.08984375" bestFit="1" customWidth="1"/>
  </cols>
  <sheetData>
    <row r="1" spans="1:13" x14ac:dyDescent="0.35">
      <c r="A1" s="1" t="s">
        <v>0</v>
      </c>
    </row>
    <row r="2" spans="1:13" x14ac:dyDescent="0.35">
      <c r="A2" s="2" t="s">
        <v>1</v>
      </c>
    </row>
    <row r="3" spans="1:13" x14ac:dyDescent="0.35">
      <c r="A3" s="1" t="s">
        <v>69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117</v>
      </c>
      <c r="G3" s="15" t="s">
        <v>21</v>
      </c>
      <c r="H3" s="15" t="s">
        <v>22</v>
      </c>
      <c r="I3" s="15" t="s">
        <v>23</v>
      </c>
      <c r="J3" s="15" t="s">
        <v>24</v>
      </c>
      <c r="K3" s="15" t="s">
        <v>25</v>
      </c>
    </row>
    <row r="4" spans="1:13" x14ac:dyDescent="0.35">
      <c r="A4" s="32" t="s">
        <v>70</v>
      </c>
      <c r="B4" s="21"/>
      <c r="C4" s="21"/>
      <c r="D4" s="21"/>
      <c r="E4" s="21"/>
      <c r="F4" s="21"/>
      <c r="G4" s="26"/>
      <c r="H4" s="26"/>
      <c r="I4" s="26"/>
      <c r="J4" s="26"/>
      <c r="K4" s="26"/>
      <c r="L4" s="21"/>
      <c r="M4" s="21"/>
    </row>
    <row r="5" spans="1:13" x14ac:dyDescent="0.35">
      <c r="A5" s="35" t="s">
        <v>71</v>
      </c>
      <c r="B5" s="21">
        <v>5509</v>
      </c>
      <c r="C5" s="21">
        <v>8185</v>
      </c>
      <c r="D5" s="21">
        <v>5596</v>
      </c>
      <c r="E5" s="21">
        <v>4954</v>
      </c>
      <c r="F5" s="21">
        <v>6116</v>
      </c>
      <c r="G5" s="24">
        <f ca="1">'Pepsico-CFS'!B35</f>
        <v>3131.3106439521544</v>
      </c>
      <c r="H5" s="24">
        <f ca="1">'Pepsico-CFS'!C35</f>
        <v>4642.8430077635094</v>
      </c>
      <c r="I5" s="24">
        <f ca="1">'Pepsico-CFS'!D35</f>
        <v>4142.5891758806029</v>
      </c>
      <c r="J5" s="24">
        <f ca="1">'Pepsico-CFS'!E35</f>
        <v>3762.4706668535619</v>
      </c>
      <c r="K5" s="24">
        <f ca="1">'Pepsico-CFS'!F35</f>
        <v>4271.6654881040267</v>
      </c>
      <c r="L5" s="21"/>
      <c r="M5" s="21"/>
    </row>
    <row r="6" spans="1:13" x14ac:dyDescent="0.35">
      <c r="A6" s="35" t="s">
        <v>72</v>
      </c>
      <c r="B6" s="21">
        <v>229</v>
      </c>
      <c r="C6" s="21">
        <v>1366</v>
      </c>
      <c r="D6" s="21">
        <v>392</v>
      </c>
      <c r="E6" s="21">
        <v>394</v>
      </c>
      <c r="F6" s="21">
        <v>338</v>
      </c>
      <c r="G6" s="24">
        <f>F6</f>
        <v>338</v>
      </c>
      <c r="H6" s="24">
        <f t="shared" ref="H6:K6" si="0">G6</f>
        <v>338</v>
      </c>
      <c r="I6" s="24">
        <f t="shared" si="0"/>
        <v>338</v>
      </c>
      <c r="J6" s="24">
        <f t="shared" si="0"/>
        <v>338</v>
      </c>
      <c r="K6" s="24">
        <f t="shared" si="0"/>
        <v>338</v>
      </c>
      <c r="L6" s="21"/>
      <c r="M6" s="21"/>
    </row>
    <row r="7" spans="1:13" x14ac:dyDescent="0.35">
      <c r="A7" s="35" t="s">
        <v>73</v>
      </c>
      <c r="B7" s="21">
        <v>7822</v>
      </c>
      <c r="C7" s="21">
        <v>8404</v>
      </c>
      <c r="D7" s="21">
        <v>8680</v>
      </c>
      <c r="E7" s="21">
        <v>10163</v>
      </c>
      <c r="F7" s="21">
        <v>11456</v>
      </c>
      <c r="G7" s="24">
        <f>G59</f>
        <v>11221.933574604964</v>
      </c>
      <c r="H7" s="24">
        <f t="shared" ref="H7:K7" si="1">H59</f>
        <v>12157.48466073314</v>
      </c>
      <c r="I7" s="24">
        <f t="shared" si="1"/>
        <v>13174.048903460318</v>
      </c>
      <c r="J7" s="24">
        <f t="shared" si="1"/>
        <v>14278.90713963987</v>
      </c>
      <c r="K7" s="24">
        <f t="shared" si="1"/>
        <v>15480.017931330365</v>
      </c>
      <c r="L7" s="21"/>
      <c r="M7" s="21"/>
    </row>
    <row r="8" spans="1:13" x14ac:dyDescent="0.35">
      <c r="A8" s="35" t="s">
        <v>74</v>
      </c>
      <c r="B8" s="21">
        <v>3338</v>
      </c>
      <c r="C8" s="21">
        <v>4172</v>
      </c>
      <c r="D8" s="21">
        <v>4347</v>
      </c>
      <c r="E8" s="21">
        <v>5222</v>
      </c>
      <c r="F8" s="21">
        <v>5969</v>
      </c>
      <c r="G8" s="24">
        <f>G61</f>
        <v>5375.5777502471656</v>
      </c>
      <c r="H8" s="24">
        <f t="shared" ref="H8:K8" si="2">H61</f>
        <v>5886.1245084145412</v>
      </c>
      <c r="I8" s="24">
        <f t="shared" si="2"/>
        <v>6378.3006345190252</v>
      </c>
      <c r="J8" s="24">
        <f t="shared" si="2"/>
        <v>6913.2248662809552</v>
      </c>
      <c r="K8" s="24">
        <f t="shared" si="2"/>
        <v>7494.7503927844191</v>
      </c>
      <c r="L8" s="21"/>
      <c r="M8" s="21"/>
    </row>
    <row r="9" spans="1:13" x14ac:dyDescent="0.35">
      <c r="A9" s="35" t="s">
        <v>75</v>
      </c>
      <c r="B9" s="21">
        <v>747</v>
      </c>
      <c r="C9" s="21">
        <v>874</v>
      </c>
      <c r="D9" s="21">
        <v>980</v>
      </c>
      <c r="E9" s="21">
        <v>806</v>
      </c>
      <c r="F9" s="21">
        <v>1075</v>
      </c>
      <c r="G9" s="24">
        <f>G63</f>
        <v>1096.2052896944563</v>
      </c>
      <c r="H9" s="24">
        <f t="shared" ref="H9:K9" si="3">H63</f>
        <v>1187.5938229249427</v>
      </c>
      <c r="I9" s="24">
        <f t="shared" si="3"/>
        <v>1286.8960592804988</v>
      </c>
      <c r="J9" s="24">
        <f t="shared" si="3"/>
        <v>1394.8232212807559</v>
      </c>
      <c r="K9" s="24">
        <f t="shared" si="3"/>
        <v>1512.1527344708716</v>
      </c>
      <c r="L9" s="21"/>
      <c r="M9" s="21"/>
    </row>
    <row r="10" spans="1:13" x14ac:dyDescent="0.35">
      <c r="A10" s="35" t="s">
        <v>113</v>
      </c>
      <c r="B10" s="21">
        <v>0</v>
      </c>
      <c r="C10" s="21">
        <v>0</v>
      </c>
      <c r="D10" s="21">
        <v>1788</v>
      </c>
      <c r="E10" s="21">
        <v>0</v>
      </c>
      <c r="F10" s="21">
        <v>0</v>
      </c>
      <c r="G10" s="24">
        <f>F10</f>
        <v>0</v>
      </c>
      <c r="H10" s="24">
        <f t="shared" ref="H10:K10" si="4">G10</f>
        <v>0</v>
      </c>
      <c r="I10" s="24">
        <f t="shared" si="4"/>
        <v>0</v>
      </c>
      <c r="J10" s="24">
        <f t="shared" si="4"/>
        <v>0</v>
      </c>
      <c r="K10" s="24">
        <f t="shared" si="4"/>
        <v>0</v>
      </c>
      <c r="L10" s="21"/>
      <c r="M10" s="21"/>
    </row>
    <row r="11" spans="1:13" x14ac:dyDescent="0.35">
      <c r="A11" s="32" t="s">
        <v>76</v>
      </c>
      <c r="B11" s="46">
        <f>SUM(B5:B10)</f>
        <v>17645</v>
      </c>
      <c r="C11" s="46">
        <f t="shared" ref="C11:E11" si="5">SUM(C5:C10)</f>
        <v>23001</v>
      </c>
      <c r="D11" s="46">
        <f t="shared" si="5"/>
        <v>21783</v>
      </c>
      <c r="E11" s="46">
        <f t="shared" si="5"/>
        <v>21539</v>
      </c>
      <c r="F11" s="46">
        <f>SUM(F5:F10)</f>
        <v>24954</v>
      </c>
      <c r="G11" s="72">
        <f ca="1">SUM(G5:G10)</f>
        <v>21163.02725849874</v>
      </c>
      <c r="H11" s="72">
        <f t="shared" ref="H11:K11" ca="1" si="6">SUM(H5:H10)</f>
        <v>24212.045999836133</v>
      </c>
      <c r="I11" s="72">
        <f t="shared" ca="1" si="6"/>
        <v>25319.834773140443</v>
      </c>
      <c r="J11" s="72">
        <f t="shared" ca="1" si="6"/>
        <v>26687.425894055141</v>
      </c>
      <c r="K11" s="72">
        <f t="shared" ca="1" si="6"/>
        <v>29096.586546689679</v>
      </c>
      <c r="L11" s="21"/>
      <c r="M11" s="21"/>
    </row>
    <row r="12" spans="1:13" x14ac:dyDescent="0.35">
      <c r="A12" s="35"/>
      <c r="B12" s="21"/>
      <c r="C12" s="21"/>
      <c r="D12" s="21"/>
      <c r="E12" s="21"/>
      <c r="F12" s="21"/>
      <c r="G12" s="24"/>
      <c r="H12" s="24"/>
      <c r="I12" s="24"/>
      <c r="J12" s="24"/>
      <c r="K12" s="24"/>
      <c r="L12" s="21"/>
      <c r="M12" s="21"/>
    </row>
    <row r="13" spans="1:13" x14ac:dyDescent="0.35">
      <c r="A13" s="35" t="s">
        <v>77</v>
      </c>
      <c r="B13" s="21">
        <v>19305</v>
      </c>
      <c r="C13" s="21">
        <v>21369</v>
      </c>
      <c r="D13" s="21">
        <v>22407</v>
      </c>
      <c r="E13" s="21">
        <v>24291</v>
      </c>
      <c r="F13" s="21">
        <v>24500</v>
      </c>
      <c r="G13" s="24">
        <f>'Fixed Assets Schedule'!H9</f>
        <v>29585.984804277763</v>
      </c>
      <c r="H13" s="24">
        <f>'Fixed Assets Schedule'!I9</f>
        <v>30294.778279987138</v>
      </c>
      <c r="I13" s="24">
        <f>'Fixed Assets Schedule'!J9</f>
        <v>32827.916441390807</v>
      </c>
      <c r="J13" s="24">
        <f>'Fixed Assets Schedule'!K9</f>
        <v>35581.071080687616</v>
      </c>
      <c r="K13" s="24">
        <f>'Fixed Assets Schedule'!L9</f>
        <v>38574.07383902045</v>
      </c>
      <c r="L13" s="21"/>
      <c r="M13" s="21"/>
    </row>
    <row r="14" spans="1:13" x14ac:dyDescent="0.35">
      <c r="A14" s="35" t="s">
        <v>78</v>
      </c>
      <c r="B14" s="21">
        <v>1433</v>
      </c>
      <c r="C14" s="21">
        <v>1703</v>
      </c>
      <c r="D14" s="21">
        <v>1538</v>
      </c>
      <c r="E14" s="21">
        <v>1277</v>
      </c>
      <c r="F14" s="21">
        <v>1232</v>
      </c>
      <c r="G14" s="24">
        <f>'Fixed Assets Schedule'!H28</f>
        <v>1198.5630684652617</v>
      </c>
      <c r="H14" s="24">
        <f>'Fixed Assets Schedule'!I28</f>
        <v>1133.5041865491273</v>
      </c>
      <c r="I14" s="24">
        <f>'Fixed Assets Schedule'!J28</f>
        <v>1071.9767484322726</v>
      </c>
      <c r="J14" s="24">
        <f>'Fixed Assets Schedule'!K28</f>
        <v>1013.7890647566861</v>
      </c>
      <c r="K14" s="24">
        <f>'Fixed Assets Schedule'!L28</f>
        <v>958.759851203219</v>
      </c>
      <c r="L14" s="21"/>
      <c r="M14" s="21"/>
    </row>
    <row r="15" spans="1:13" x14ac:dyDescent="0.35">
      <c r="A15" s="35" t="s">
        <v>79</v>
      </c>
      <c r="B15" s="21">
        <v>15501</v>
      </c>
      <c r="C15" s="21">
        <v>18757</v>
      </c>
      <c r="D15" s="21">
        <v>18381</v>
      </c>
      <c r="E15" s="21">
        <v>18202</v>
      </c>
      <c r="F15" s="21">
        <v>17997</v>
      </c>
      <c r="G15" s="24">
        <f>F15</f>
        <v>17997</v>
      </c>
      <c r="H15" s="24">
        <f t="shared" ref="H15:K15" si="7">G15</f>
        <v>17997</v>
      </c>
      <c r="I15" s="24">
        <f t="shared" si="7"/>
        <v>17997</v>
      </c>
      <c r="J15" s="24">
        <f t="shared" si="7"/>
        <v>17997</v>
      </c>
      <c r="K15" s="24">
        <f t="shared" si="7"/>
        <v>17997</v>
      </c>
      <c r="L15" s="21"/>
      <c r="M15" s="21"/>
    </row>
    <row r="16" spans="1:13" x14ac:dyDescent="0.35">
      <c r="A16" s="35" t="s">
        <v>80</v>
      </c>
      <c r="B16" s="21">
        <v>14610</v>
      </c>
      <c r="C16" s="21">
        <v>17612</v>
      </c>
      <c r="D16" s="21">
        <v>17127</v>
      </c>
      <c r="E16" s="21">
        <v>14309</v>
      </c>
      <c r="F16" s="21">
        <v>14330</v>
      </c>
      <c r="G16" s="24">
        <f t="shared" ref="G16:K16" si="8">F16</f>
        <v>14330</v>
      </c>
      <c r="H16" s="24">
        <f t="shared" si="8"/>
        <v>14330</v>
      </c>
      <c r="I16" s="24">
        <f t="shared" si="8"/>
        <v>14330</v>
      </c>
      <c r="J16" s="24">
        <f t="shared" si="8"/>
        <v>14330</v>
      </c>
      <c r="K16" s="24">
        <f t="shared" si="8"/>
        <v>14330</v>
      </c>
      <c r="L16" s="21"/>
      <c r="M16" s="21"/>
    </row>
    <row r="17" spans="1:13" x14ac:dyDescent="0.35">
      <c r="A17" s="35" t="s">
        <v>81</v>
      </c>
      <c r="B17" s="21">
        <v>2683</v>
      </c>
      <c r="C17" s="21">
        <v>2792</v>
      </c>
      <c r="D17" s="21">
        <v>2350</v>
      </c>
      <c r="E17" s="21">
        <v>3073</v>
      </c>
      <c r="F17" s="21">
        <v>3038</v>
      </c>
      <c r="G17" s="24">
        <f t="shared" ref="G17:K17" si="9">F17</f>
        <v>3038</v>
      </c>
      <c r="H17" s="24">
        <f t="shared" si="9"/>
        <v>3038</v>
      </c>
      <c r="I17" s="24">
        <f t="shared" si="9"/>
        <v>3038</v>
      </c>
      <c r="J17" s="24">
        <f t="shared" si="9"/>
        <v>3038</v>
      </c>
      <c r="K17" s="24">
        <f t="shared" si="9"/>
        <v>3038</v>
      </c>
      <c r="L17" s="21"/>
      <c r="M17" s="21"/>
    </row>
    <row r="18" spans="1:13" x14ac:dyDescent="0.35">
      <c r="A18" s="35" t="s">
        <v>82</v>
      </c>
      <c r="B18" s="21">
        <v>4359</v>
      </c>
      <c r="C18" s="21">
        <v>4372</v>
      </c>
      <c r="D18" s="21">
        <v>4310</v>
      </c>
      <c r="E18" s="21">
        <v>4204</v>
      </c>
      <c r="F18" s="21">
        <v>4186</v>
      </c>
      <c r="G18" s="24">
        <f t="shared" ref="G18:K18" si="10">F18</f>
        <v>4186</v>
      </c>
      <c r="H18" s="24">
        <f t="shared" si="10"/>
        <v>4186</v>
      </c>
      <c r="I18" s="24">
        <f t="shared" si="10"/>
        <v>4186</v>
      </c>
      <c r="J18" s="24">
        <f t="shared" si="10"/>
        <v>4186</v>
      </c>
      <c r="K18" s="24">
        <f t="shared" si="10"/>
        <v>4186</v>
      </c>
      <c r="L18" s="21"/>
      <c r="M18" s="21"/>
    </row>
    <row r="19" spans="1:13" x14ac:dyDescent="0.35">
      <c r="A19" s="35" t="s">
        <v>83</v>
      </c>
      <c r="B19" s="21">
        <v>3011</v>
      </c>
      <c r="C19" s="21">
        <v>3312</v>
      </c>
      <c r="D19" s="21">
        <v>4481</v>
      </c>
      <c r="E19" s="21">
        <v>5292</v>
      </c>
      <c r="F19" s="21">
        <v>5669</v>
      </c>
      <c r="G19" s="24">
        <f t="shared" ref="G19:K19" si="11">F19</f>
        <v>5669</v>
      </c>
      <c r="H19" s="24">
        <f t="shared" si="11"/>
        <v>5669</v>
      </c>
      <c r="I19" s="24">
        <f t="shared" si="11"/>
        <v>5669</v>
      </c>
      <c r="J19" s="24">
        <f t="shared" si="11"/>
        <v>5669</v>
      </c>
      <c r="K19" s="24">
        <f t="shared" si="11"/>
        <v>5669</v>
      </c>
      <c r="L19" s="21"/>
      <c r="M19" s="21"/>
    </row>
    <row r="20" spans="1:13" s="11" customFormat="1" ht="15" thickBot="1" x14ac:dyDescent="0.4">
      <c r="A20" s="32" t="s">
        <v>84</v>
      </c>
      <c r="B20" s="22">
        <f>SUM(B11,B13:B19)</f>
        <v>78547</v>
      </c>
      <c r="C20" s="22">
        <f t="shared" ref="C20:E20" si="12">SUM(C11,C13:C19)</f>
        <v>92918</v>
      </c>
      <c r="D20" s="22">
        <f t="shared" si="12"/>
        <v>92377</v>
      </c>
      <c r="E20" s="22">
        <f t="shared" si="12"/>
        <v>92187</v>
      </c>
      <c r="F20" s="22">
        <f>SUM(F11,F13:F19)</f>
        <v>95906</v>
      </c>
      <c r="G20" s="27">
        <f ca="1">SUM(G11,G13:G19)</f>
        <v>97167.575131241756</v>
      </c>
      <c r="H20" s="27">
        <f t="shared" ref="H20:K20" ca="1" si="13">SUM(H11,H13:H19)</f>
        <v>100860.32846637239</v>
      </c>
      <c r="I20" s="27">
        <f t="shared" ca="1" si="13"/>
        <v>104439.72796296352</v>
      </c>
      <c r="J20" s="27">
        <f t="shared" ca="1" si="13"/>
        <v>108502.28603949945</v>
      </c>
      <c r="K20" s="27">
        <f t="shared" ca="1" si="13"/>
        <v>113849.42023691334</v>
      </c>
      <c r="L20" s="23"/>
      <c r="M20" s="23"/>
    </row>
    <row r="21" spans="1:13" ht="15" thickTop="1" x14ac:dyDescent="0.35">
      <c r="A21" s="35"/>
      <c r="B21" s="21"/>
      <c r="C21" s="21"/>
      <c r="D21" s="21"/>
      <c r="E21" s="21"/>
      <c r="F21" s="21"/>
      <c r="G21" s="24"/>
      <c r="H21" s="24"/>
      <c r="I21" s="24"/>
      <c r="J21" s="24"/>
      <c r="K21" s="24"/>
      <c r="L21" s="21"/>
      <c r="M21" s="21"/>
    </row>
    <row r="22" spans="1:13" x14ac:dyDescent="0.35">
      <c r="A22" s="32" t="s">
        <v>85</v>
      </c>
      <c r="B22" s="21"/>
      <c r="C22" s="21"/>
      <c r="D22" s="21"/>
      <c r="E22" s="21"/>
      <c r="F22" s="21"/>
      <c r="G22" s="24"/>
      <c r="H22" s="24"/>
      <c r="I22" s="24"/>
      <c r="J22" s="24"/>
      <c r="K22" s="24"/>
      <c r="L22" s="21"/>
      <c r="M22" s="21"/>
    </row>
    <row r="23" spans="1:13" x14ac:dyDescent="0.35">
      <c r="A23" s="35" t="s">
        <v>86</v>
      </c>
      <c r="B23" s="21">
        <v>2920</v>
      </c>
      <c r="C23" s="21">
        <v>3780</v>
      </c>
      <c r="D23" s="21">
        <v>4308</v>
      </c>
      <c r="E23" s="21">
        <v>3414</v>
      </c>
      <c r="F23" s="21">
        <v>7613</v>
      </c>
      <c r="G23" s="24">
        <f ca="1">'Pepsico-Debt'!B50</f>
        <v>2867</v>
      </c>
      <c r="H23" s="24">
        <f ca="1">'Pepsico-Debt'!C50</f>
        <v>3193</v>
      </c>
      <c r="I23" s="24">
        <f ca="1">'Pepsico-Debt'!D50</f>
        <v>3246</v>
      </c>
      <c r="J23" s="24">
        <f ca="1">'Pepsico-Debt'!E50</f>
        <v>2523</v>
      </c>
      <c r="K23" s="24">
        <f ca="1">'Pepsico-Debt'!F50</f>
        <v>25302</v>
      </c>
      <c r="L23" s="21"/>
      <c r="M23" s="21"/>
    </row>
    <row r="24" spans="1:13" x14ac:dyDescent="0.35">
      <c r="A24" s="35" t="s">
        <v>87</v>
      </c>
      <c r="B24" s="21">
        <v>17541</v>
      </c>
      <c r="C24" s="21">
        <v>19592</v>
      </c>
      <c r="D24" s="21">
        <v>21159</v>
      </c>
      <c r="E24" s="21">
        <v>23371</v>
      </c>
      <c r="F24" s="21">
        <v>22005</v>
      </c>
      <c r="G24" s="24">
        <f>G67</f>
        <v>25837.618334529099</v>
      </c>
      <c r="H24" s="24">
        <f t="shared" ref="H24:K24" si="14">H67</f>
        <v>28291.552198447869</v>
      </c>
      <c r="I24" s="24">
        <f t="shared" si="14"/>
        <v>30657.187947846156</v>
      </c>
      <c r="J24" s="24">
        <f t="shared" si="14"/>
        <v>33228.291702697519</v>
      </c>
      <c r="K24" s="24">
        <f t="shared" si="14"/>
        <v>36023.383747434804</v>
      </c>
      <c r="L24" s="21"/>
      <c r="M24" s="21"/>
    </row>
    <row r="25" spans="1:13" x14ac:dyDescent="0.35">
      <c r="A25" s="35" t="s">
        <v>116</v>
      </c>
      <c r="B25" s="21">
        <v>0</v>
      </c>
      <c r="C25" s="21">
        <v>0</v>
      </c>
      <c r="D25" s="21">
        <v>753</v>
      </c>
      <c r="E25" s="21">
        <v>0</v>
      </c>
      <c r="F25" s="21">
        <v>0</v>
      </c>
      <c r="G25" s="24">
        <f>F25</f>
        <v>0</v>
      </c>
      <c r="H25" s="24">
        <f t="shared" ref="H25:K25" si="15">G25</f>
        <v>0</v>
      </c>
      <c r="I25" s="24">
        <f t="shared" si="15"/>
        <v>0</v>
      </c>
      <c r="J25" s="24">
        <f t="shared" si="15"/>
        <v>0</v>
      </c>
      <c r="K25" s="24">
        <f t="shared" si="15"/>
        <v>0</v>
      </c>
      <c r="L25" s="21"/>
      <c r="M25" s="21"/>
    </row>
    <row r="26" spans="1:13" x14ac:dyDescent="0.35">
      <c r="A26" s="32" t="s">
        <v>88</v>
      </c>
      <c r="B26" s="46">
        <f>B23+B24+B25</f>
        <v>20461</v>
      </c>
      <c r="C26" s="46">
        <f t="shared" ref="C26:E26" si="16">C23+C24+C25</f>
        <v>23372</v>
      </c>
      <c r="D26" s="46">
        <f t="shared" si="16"/>
        <v>26220</v>
      </c>
      <c r="E26" s="46">
        <f t="shared" si="16"/>
        <v>26785</v>
      </c>
      <c r="F26" s="46">
        <f>F23+F24+F25</f>
        <v>29618</v>
      </c>
      <c r="G26" s="72">
        <f ca="1">G23+G24+G25</f>
        <v>28704.618334529099</v>
      </c>
      <c r="H26" s="72">
        <f t="shared" ref="H26:K26" ca="1" si="17">H23+H24+H25</f>
        <v>31484.552198447869</v>
      </c>
      <c r="I26" s="72">
        <f t="shared" ca="1" si="17"/>
        <v>33903.187947846156</v>
      </c>
      <c r="J26" s="72">
        <f t="shared" ca="1" si="17"/>
        <v>35751.291702697519</v>
      </c>
      <c r="K26" s="72">
        <f t="shared" ca="1" si="17"/>
        <v>61325.383747434804</v>
      </c>
      <c r="L26" s="21"/>
      <c r="M26" s="21"/>
    </row>
    <row r="27" spans="1:13" x14ac:dyDescent="0.35">
      <c r="A27" s="35"/>
      <c r="B27" s="21"/>
      <c r="C27" s="21"/>
      <c r="D27" s="21"/>
      <c r="E27" s="21"/>
      <c r="F27" s="21"/>
      <c r="G27" s="24"/>
      <c r="H27" s="24"/>
      <c r="I27" s="24"/>
      <c r="J27" s="24"/>
      <c r="K27" s="24"/>
      <c r="L27" s="21"/>
      <c r="M27" s="21"/>
    </row>
    <row r="28" spans="1:13" x14ac:dyDescent="0.35">
      <c r="A28" s="35" t="s">
        <v>89</v>
      </c>
      <c r="B28" s="21">
        <v>29148</v>
      </c>
      <c r="C28" s="21">
        <v>40370</v>
      </c>
      <c r="D28" s="21">
        <v>36026</v>
      </c>
      <c r="E28" s="21">
        <v>35657</v>
      </c>
      <c r="F28" s="21">
        <v>36008</v>
      </c>
      <c r="G28" s="24">
        <f ca="1">'Pepsico-Debt'!B51</f>
        <v>35764</v>
      </c>
      <c r="H28" s="24">
        <f ca="1">'Pepsico-Debt'!C51</f>
        <v>32571</v>
      </c>
      <c r="I28" s="24">
        <f ca="1">'Pepsico-Debt'!D51</f>
        <v>29325</v>
      </c>
      <c r="J28" s="24">
        <f ca="1">'Pepsico-Debt'!E51</f>
        <v>26802</v>
      </c>
      <c r="K28" s="24">
        <f ca="1">'Pepsico-Debt'!F51</f>
        <v>1500</v>
      </c>
      <c r="L28" s="21"/>
      <c r="M28" s="21"/>
    </row>
    <row r="29" spans="1:13" x14ac:dyDescent="0.35">
      <c r="A29" s="35" t="s">
        <v>82</v>
      </c>
      <c r="B29" s="21">
        <v>4091</v>
      </c>
      <c r="C29" s="21">
        <v>4284</v>
      </c>
      <c r="D29" s="21">
        <v>4826</v>
      </c>
      <c r="E29" s="21">
        <v>4133</v>
      </c>
      <c r="F29" s="21">
        <v>4113</v>
      </c>
      <c r="G29" s="24">
        <f>F29</f>
        <v>4113</v>
      </c>
      <c r="H29" s="24">
        <f t="shared" ref="H29:K29" si="18">G29</f>
        <v>4113</v>
      </c>
      <c r="I29" s="24">
        <f t="shared" si="18"/>
        <v>4113</v>
      </c>
      <c r="J29" s="24">
        <f t="shared" si="18"/>
        <v>4113</v>
      </c>
      <c r="K29" s="24">
        <f t="shared" si="18"/>
        <v>4113</v>
      </c>
      <c r="L29" s="21"/>
      <c r="M29" s="21"/>
    </row>
    <row r="30" spans="1:13" x14ac:dyDescent="0.35">
      <c r="A30" s="35" t="s">
        <v>90</v>
      </c>
      <c r="B30" s="21">
        <v>9979</v>
      </c>
      <c r="C30" s="21">
        <v>11340</v>
      </c>
      <c r="D30" s="21">
        <v>9154</v>
      </c>
      <c r="E30" s="21">
        <v>8339</v>
      </c>
      <c r="F30" s="21">
        <v>8342</v>
      </c>
      <c r="G30" s="24">
        <f t="shared" ref="G30:K30" si="19">F30</f>
        <v>8342</v>
      </c>
      <c r="H30" s="24">
        <f t="shared" si="19"/>
        <v>8342</v>
      </c>
      <c r="I30" s="24">
        <f t="shared" si="19"/>
        <v>8342</v>
      </c>
      <c r="J30" s="24">
        <f t="shared" si="19"/>
        <v>8342</v>
      </c>
      <c r="K30" s="24">
        <f t="shared" si="19"/>
        <v>8342</v>
      </c>
      <c r="L30" s="21"/>
      <c r="M30" s="21"/>
    </row>
    <row r="31" spans="1:13" x14ac:dyDescent="0.35">
      <c r="A31" s="32" t="s">
        <v>91</v>
      </c>
      <c r="B31" s="46">
        <f>SUM(B26,B28:B30)</f>
        <v>63679</v>
      </c>
      <c r="C31" s="46">
        <f t="shared" ref="C31:E31" si="20">SUM(C26,C28:C30)</f>
        <v>79366</v>
      </c>
      <c r="D31" s="46">
        <f t="shared" si="20"/>
        <v>76226</v>
      </c>
      <c r="E31" s="46">
        <f t="shared" si="20"/>
        <v>74914</v>
      </c>
      <c r="F31" s="46">
        <f>SUM(F26,F28:F30)</f>
        <v>78081</v>
      </c>
      <c r="G31" s="72">
        <f ca="1">SUM(G26,G28:G30)</f>
        <v>76923.618334529107</v>
      </c>
      <c r="H31" s="72">
        <f t="shared" ref="H31:K31" ca="1" si="21">SUM(H26,H28:H30)</f>
        <v>76510.552198447869</v>
      </c>
      <c r="I31" s="72">
        <f t="shared" ca="1" si="21"/>
        <v>75683.187947846163</v>
      </c>
      <c r="J31" s="72">
        <f t="shared" ca="1" si="21"/>
        <v>75008.291702697519</v>
      </c>
      <c r="K31" s="72">
        <f t="shared" ca="1" si="21"/>
        <v>75280.383747434797</v>
      </c>
      <c r="L31" s="21"/>
      <c r="M31" s="21"/>
    </row>
    <row r="32" spans="1:13" x14ac:dyDescent="0.35">
      <c r="A32" s="35"/>
      <c r="B32" s="21"/>
      <c r="C32" s="21"/>
      <c r="D32" s="21"/>
      <c r="E32" s="21"/>
      <c r="F32" s="21"/>
      <c r="G32" s="24"/>
      <c r="H32" s="24"/>
      <c r="I32" s="24"/>
      <c r="J32" s="24"/>
      <c r="K32" s="24"/>
      <c r="L32" s="21"/>
      <c r="M32" s="21"/>
    </row>
    <row r="33" spans="1:13" x14ac:dyDescent="0.35">
      <c r="A33" s="35" t="s">
        <v>92</v>
      </c>
      <c r="B33" s="21">
        <v>23</v>
      </c>
      <c r="C33" s="21">
        <v>23</v>
      </c>
      <c r="D33" s="21">
        <v>23</v>
      </c>
      <c r="E33" s="21">
        <v>23</v>
      </c>
      <c r="F33" s="21">
        <v>23</v>
      </c>
      <c r="G33" s="24">
        <f>F33</f>
        <v>23</v>
      </c>
      <c r="H33" s="24">
        <f t="shared" ref="H33:K33" si="22">G33</f>
        <v>23</v>
      </c>
      <c r="I33" s="24">
        <f t="shared" si="22"/>
        <v>23</v>
      </c>
      <c r="J33" s="24">
        <f t="shared" si="22"/>
        <v>23</v>
      </c>
      <c r="K33" s="24">
        <f t="shared" si="22"/>
        <v>23</v>
      </c>
      <c r="L33" s="21"/>
      <c r="M33" s="21"/>
    </row>
    <row r="34" spans="1:13" x14ac:dyDescent="0.35">
      <c r="A34" s="35" t="s">
        <v>93</v>
      </c>
      <c r="B34" s="21">
        <v>3886</v>
      </c>
      <c r="C34" s="21">
        <v>3910</v>
      </c>
      <c r="D34" s="21">
        <v>4001</v>
      </c>
      <c r="E34" s="21">
        <v>4134</v>
      </c>
      <c r="F34" s="21">
        <v>4082</v>
      </c>
      <c r="G34" s="24">
        <f>F34+'Pepsico-CFS'!B9</f>
        <v>4335.2734582254534</v>
      </c>
      <c r="H34" s="24">
        <f>G34+'Pepsico-CFS'!C9</f>
        <v>4730.4277215927359</v>
      </c>
      <c r="I34" s="24">
        <f>H34+'Pepsico-CFS'!D9</f>
        <v>5158.6233340309991</v>
      </c>
      <c r="J34" s="24">
        <f>I34+'Pepsico-CFS'!E9</f>
        <v>5622.7301118645955</v>
      </c>
      <c r="K34" s="24">
        <f>J34+'Pepsico-CFS'!F9</f>
        <v>6125.8765482589724</v>
      </c>
      <c r="L34" s="21"/>
      <c r="M34" s="21"/>
    </row>
    <row r="35" spans="1:13" x14ac:dyDescent="0.35">
      <c r="A35" s="35" t="s">
        <v>94</v>
      </c>
      <c r="B35" s="21">
        <v>61946</v>
      </c>
      <c r="C35" s="21">
        <v>63443</v>
      </c>
      <c r="D35" s="21">
        <v>65165</v>
      </c>
      <c r="E35" s="21">
        <v>67800</v>
      </c>
      <c r="F35" s="21">
        <v>69135</v>
      </c>
      <c r="G35" s="24">
        <f ca="1">F35+'PepsiCo-IS'!G44+'Pepsico-CFS'!B24</f>
        <v>71249.297463287687</v>
      </c>
      <c r="H35" s="24">
        <f ca="1">G35+'PepsiCo-IS'!I44+'Pepsico-CFS'!C24</f>
        <v>74880.11603481081</v>
      </c>
      <c r="I35" s="24">
        <f ca="1">H35+'PepsiCo-IS'!J44+'Pepsico-CFS'!D24</f>
        <v>78773.07275890396</v>
      </c>
      <c r="J35" s="24">
        <f ca="1">I35+'PepsiCo-IS'!K44+'Pepsico-CFS'!E24</f>
        <v>82954.465785681357</v>
      </c>
      <c r="K35" s="24">
        <f ca="1">J35+'PepsiCo-IS'!L44+'Pepsico-CFS'!F24</f>
        <v>87427.982781677594</v>
      </c>
      <c r="L35" s="21"/>
      <c r="M35" s="21"/>
    </row>
    <row r="36" spans="1:13" x14ac:dyDescent="0.35">
      <c r="A36" s="35" t="s">
        <v>95</v>
      </c>
      <c r="B36" s="71">
        <v>-14300</v>
      </c>
      <c r="C36" s="71">
        <v>-15476</v>
      </c>
      <c r="D36" s="71">
        <v>-14898</v>
      </c>
      <c r="E36" s="71">
        <v>-15302</v>
      </c>
      <c r="F36" s="71">
        <v>-15780</v>
      </c>
      <c r="G36" s="73">
        <f>F36</f>
        <v>-15780</v>
      </c>
      <c r="H36" s="73">
        <f t="shared" ref="H36:K36" si="23">G36</f>
        <v>-15780</v>
      </c>
      <c r="I36" s="73">
        <f t="shared" si="23"/>
        <v>-15780</v>
      </c>
      <c r="J36" s="73">
        <f t="shared" si="23"/>
        <v>-15780</v>
      </c>
      <c r="K36" s="73">
        <f t="shared" si="23"/>
        <v>-15780</v>
      </c>
      <c r="L36" s="21"/>
      <c r="M36" s="21"/>
    </row>
    <row r="37" spans="1:13" x14ac:dyDescent="0.35">
      <c r="A37" s="35" t="s">
        <v>96</v>
      </c>
      <c r="B37" s="71">
        <v>-36769</v>
      </c>
      <c r="C37" s="71">
        <v>-38446</v>
      </c>
      <c r="D37" s="71">
        <v>-38248</v>
      </c>
      <c r="E37" s="71">
        <v>-39506</v>
      </c>
      <c r="F37" s="71">
        <v>-39775</v>
      </c>
      <c r="G37" s="73">
        <f t="shared" ref="G37:K37" si="24">F37</f>
        <v>-39775</v>
      </c>
      <c r="H37" s="73">
        <f t="shared" si="24"/>
        <v>-39775</v>
      </c>
      <c r="I37" s="73">
        <f t="shared" si="24"/>
        <v>-39775</v>
      </c>
      <c r="J37" s="73">
        <f t="shared" si="24"/>
        <v>-39775</v>
      </c>
      <c r="K37" s="73">
        <f t="shared" si="24"/>
        <v>-39775</v>
      </c>
      <c r="L37" s="21"/>
      <c r="M37" s="21"/>
    </row>
    <row r="38" spans="1:13" x14ac:dyDescent="0.35">
      <c r="A38" s="32" t="s">
        <v>97</v>
      </c>
      <c r="B38" s="46">
        <f>SUM(B33:B37)</f>
        <v>14786</v>
      </c>
      <c r="C38" s="46">
        <f>SUM(C33:C37)</f>
        <v>13454</v>
      </c>
      <c r="D38" s="46">
        <f t="shared" ref="D38:E38" si="25">SUM(D33:D37)</f>
        <v>16043</v>
      </c>
      <c r="E38" s="46">
        <f t="shared" si="25"/>
        <v>17149</v>
      </c>
      <c r="F38" s="46">
        <f>SUM(F33:F37)</f>
        <v>17685</v>
      </c>
      <c r="G38" s="72">
        <f t="shared" ref="G38:K38" ca="1" si="26">SUM(G33:G37)</f>
        <v>20052.570921513136</v>
      </c>
      <c r="H38" s="72">
        <f t="shared" ca="1" si="26"/>
        <v>24078.543756403553</v>
      </c>
      <c r="I38" s="72">
        <f t="shared" ca="1" si="26"/>
        <v>28399.696092934959</v>
      </c>
      <c r="J38" s="72">
        <f t="shared" ca="1" si="26"/>
        <v>33045.195897545957</v>
      </c>
      <c r="K38" s="72">
        <f t="shared" ca="1" si="26"/>
        <v>38021.85932993656</v>
      </c>
      <c r="L38" s="21"/>
      <c r="M38" s="21"/>
    </row>
    <row r="39" spans="1:13" x14ac:dyDescent="0.35">
      <c r="A39" s="35" t="s">
        <v>98</v>
      </c>
      <c r="B39" s="21">
        <v>82</v>
      </c>
      <c r="C39" s="21">
        <v>98</v>
      </c>
      <c r="D39" s="21">
        <v>108</v>
      </c>
      <c r="E39" s="21">
        <v>124</v>
      </c>
      <c r="F39" s="21">
        <v>140</v>
      </c>
      <c r="G39" s="24">
        <f ca="1">F39+'PepsiCo-IS'!G42</f>
        <v>191.38587519952748</v>
      </c>
      <c r="H39" s="24">
        <f ca="1">G39+'PepsiCo-IS'!I42</f>
        <v>271.23251152097595</v>
      </c>
      <c r="I39" s="24">
        <f ca="1">H39+'PepsiCo-IS'!J42</f>
        <v>356.84392218240328</v>
      </c>
      <c r="J39" s="24">
        <f ca="1">I39+'PepsiCo-IS'!K42</f>
        <v>448.79843925596691</v>
      </c>
      <c r="K39" s="24">
        <f ca="1">J39+'PepsiCo-IS'!L42</f>
        <v>547.17715954197831</v>
      </c>
      <c r="L39" s="21"/>
      <c r="M39" s="21"/>
    </row>
    <row r="40" spans="1:13" x14ac:dyDescent="0.35">
      <c r="A40" s="32" t="s">
        <v>99</v>
      </c>
      <c r="B40" s="46">
        <f>B38+B39</f>
        <v>14868</v>
      </c>
      <c r="C40" s="46">
        <f>C38+C39</f>
        <v>13552</v>
      </c>
      <c r="D40" s="46">
        <f t="shared" ref="D40:E40" si="27">D38+D39</f>
        <v>16151</v>
      </c>
      <c r="E40" s="46">
        <f t="shared" si="27"/>
        <v>17273</v>
      </c>
      <c r="F40" s="46">
        <f>F38+F39</f>
        <v>17825</v>
      </c>
      <c r="G40" s="72">
        <f ca="1">G38+G39</f>
        <v>20243.956796712664</v>
      </c>
      <c r="H40" s="72">
        <f t="shared" ref="H40:K40" ca="1" si="28">H38+H39</f>
        <v>24349.776267924528</v>
      </c>
      <c r="I40" s="72">
        <f t="shared" ca="1" si="28"/>
        <v>28756.540015117364</v>
      </c>
      <c r="J40" s="72">
        <f t="shared" ca="1" si="28"/>
        <v>33493.994336801923</v>
      </c>
      <c r="K40" s="72">
        <f t="shared" ca="1" si="28"/>
        <v>38569.036489478538</v>
      </c>
      <c r="L40" s="21"/>
      <c r="M40" s="21"/>
    </row>
    <row r="41" spans="1:13" x14ac:dyDescent="0.35">
      <c r="A41" s="35"/>
      <c r="B41" s="21"/>
      <c r="C41" s="21"/>
      <c r="D41" s="21"/>
      <c r="E41" s="21"/>
      <c r="F41" s="21"/>
      <c r="G41" s="24"/>
      <c r="H41" s="24"/>
      <c r="I41" s="24"/>
      <c r="J41" s="24"/>
      <c r="K41" s="24"/>
      <c r="L41" s="21"/>
      <c r="M41" s="21"/>
    </row>
    <row r="42" spans="1:13" s="11" customFormat="1" ht="15" thickBot="1" x14ac:dyDescent="0.4">
      <c r="A42" s="32" t="s">
        <v>100</v>
      </c>
      <c r="B42" s="22">
        <f>B31+B40</f>
        <v>78547</v>
      </c>
      <c r="C42" s="22">
        <f>C31+C40</f>
        <v>92918</v>
      </c>
      <c r="D42" s="22">
        <f t="shared" ref="D42:E42" si="29">D31+D40</f>
        <v>92377</v>
      </c>
      <c r="E42" s="22">
        <f t="shared" si="29"/>
        <v>92187</v>
      </c>
      <c r="F42" s="22">
        <f>F31+F40</f>
        <v>95906</v>
      </c>
      <c r="G42" s="27">
        <f t="shared" ref="G42:K42" ca="1" si="30">G31+G40</f>
        <v>97167.575131241771</v>
      </c>
      <c r="H42" s="27">
        <f t="shared" ca="1" si="30"/>
        <v>100860.32846637239</v>
      </c>
      <c r="I42" s="27">
        <f t="shared" ca="1" si="30"/>
        <v>104439.72796296353</v>
      </c>
      <c r="J42" s="27">
        <f t="shared" ca="1" si="30"/>
        <v>108502.28603949945</v>
      </c>
      <c r="K42" s="27">
        <f t="shared" ca="1" si="30"/>
        <v>113849.42023691334</v>
      </c>
      <c r="L42" s="23"/>
      <c r="M42" s="23"/>
    </row>
    <row r="43" spans="1:13" ht="15" thickTop="1" x14ac:dyDescent="0.35">
      <c r="A43" s="44" t="s">
        <v>101</v>
      </c>
      <c r="B43" s="21">
        <f>B42-B20</f>
        <v>0</v>
      </c>
      <c r="C43" s="21">
        <f t="shared" ref="C43:K43" si="31">C42-C20</f>
        <v>0</v>
      </c>
      <c r="D43" s="21">
        <f t="shared" si="31"/>
        <v>0</v>
      </c>
      <c r="E43" s="21">
        <f t="shared" si="31"/>
        <v>0</v>
      </c>
      <c r="F43" s="21">
        <f t="shared" si="31"/>
        <v>0</v>
      </c>
      <c r="G43" s="24">
        <f ca="1">G42-G20</f>
        <v>0</v>
      </c>
      <c r="H43" s="24">
        <f ca="1">H42-H20</f>
        <v>0</v>
      </c>
      <c r="I43" s="24">
        <f t="shared" ca="1" si="31"/>
        <v>0</v>
      </c>
      <c r="J43" s="24">
        <f t="shared" ca="1" si="31"/>
        <v>0</v>
      </c>
      <c r="K43" s="24">
        <f t="shared" ca="1" si="31"/>
        <v>0</v>
      </c>
      <c r="L43" s="21"/>
      <c r="M43" s="21"/>
    </row>
    <row r="44" spans="1:13" ht="26" x14ac:dyDescent="0.35">
      <c r="A44" s="44" t="s">
        <v>13</v>
      </c>
      <c r="B44" s="295" t="s">
        <v>114</v>
      </c>
      <c r="C44" s="296"/>
      <c r="D44" s="295" t="s">
        <v>115</v>
      </c>
      <c r="E44" s="296"/>
      <c r="F44" s="16" t="s">
        <v>118</v>
      </c>
      <c r="G44" s="24"/>
      <c r="H44" s="24"/>
      <c r="I44" s="24"/>
      <c r="J44" s="24"/>
      <c r="K44" s="24"/>
      <c r="L44" s="21"/>
      <c r="M44" s="21"/>
    </row>
    <row r="45" spans="1:13" x14ac:dyDescent="0.35">
      <c r="A45" s="40"/>
      <c r="B45" s="21"/>
      <c r="C45" s="21"/>
      <c r="D45" s="21"/>
      <c r="E45" s="21"/>
      <c r="F45" s="21"/>
      <c r="G45" s="24"/>
      <c r="H45" s="24"/>
      <c r="I45" s="24"/>
      <c r="J45" s="24"/>
      <c r="K45" s="24"/>
      <c r="L45" s="21"/>
      <c r="M45" s="21"/>
    </row>
    <row r="46" spans="1:13" x14ac:dyDescent="0.35">
      <c r="A46" s="40"/>
    </row>
    <row r="47" spans="1:13" x14ac:dyDescent="0.35">
      <c r="A47" s="40"/>
    </row>
    <row r="48" spans="1:13" x14ac:dyDescent="0.35">
      <c r="A48" s="32" t="s">
        <v>87</v>
      </c>
      <c r="B48" s="58">
        <f>B24</f>
        <v>17541</v>
      </c>
      <c r="C48" s="58">
        <f t="shared" ref="C48:F48" si="32">C24</f>
        <v>19592</v>
      </c>
      <c r="D48" s="58">
        <f t="shared" si="32"/>
        <v>21159</v>
      </c>
      <c r="E48" s="58">
        <f t="shared" si="32"/>
        <v>23371</v>
      </c>
      <c r="F48" s="58">
        <f t="shared" si="32"/>
        <v>22005</v>
      </c>
      <c r="G48" s="58"/>
      <c r="H48" s="58"/>
      <c r="I48" s="58"/>
      <c r="J48" s="58"/>
      <c r="K48" s="58"/>
    </row>
    <row r="49" spans="1:11" x14ac:dyDescent="0.35">
      <c r="A49" s="32" t="s">
        <v>102</v>
      </c>
    </row>
    <row r="50" spans="1:11" x14ac:dyDescent="0.35">
      <c r="A50" s="36" t="s">
        <v>103</v>
      </c>
      <c r="B50">
        <v>1351</v>
      </c>
      <c r="C50">
        <v>1430</v>
      </c>
      <c r="D50">
        <v>1508</v>
      </c>
      <c r="E50">
        <v>1610</v>
      </c>
      <c r="F50" s="297" t="s">
        <v>134</v>
      </c>
    </row>
    <row r="51" spans="1:11" x14ac:dyDescent="0.35">
      <c r="A51" s="36" t="s">
        <v>104</v>
      </c>
      <c r="B51">
        <v>442</v>
      </c>
      <c r="C51">
        <v>460</v>
      </c>
      <c r="D51">
        <v>446</v>
      </c>
      <c r="E51">
        <v>483</v>
      </c>
      <c r="F51" s="298"/>
    </row>
    <row r="52" spans="1:11" x14ac:dyDescent="0.35">
      <c r="A52" s="36" t="s">
        <v>135</v>
      </c>
      <c r="B52">
        <v>58</v>
      </c>
      <c r="C52">
        <v>0</v>
      </c>
      <c r="D52">
        <v>0</v>
      </c>
      <c r="E52">
        <v>0</v>
      </c>
      <c r="F52" s="89"/>
    </row>
    <row r="53" spans="1:11" x14ac:dyDescent="0.35">
      <c r="A53" s="32" t="s">
        <v>105</v>
      </c>
      <c r="B53" s="59">
        <f>B48-B50-B51-B52</f>
        <v>15690</v>
      </c>
      <c r="C53" s="59">
        <f t="shared" ref="C53:E53" si="33">C48-C50-C51</f>
        <v>17702</v>
      </c>
      <c r="D53" s="59">
        <f t="shared" si="33"/>
        <v>19205</v>
      </c>
      <c r="E53" s="59">
        <f t="shared" si="33"/>
        <v>21278</v>
      </c>
      <c r="F53" s="59">
        <f>E53-1960</f>
        <v>19318</v>
      </c>
      <c r="G53" s="58"/>
      <c r="H53" s="58"/>
      <c r="I53" s="58"/>
      <c r="J53" s="58"/>
      <c r="K53" s="58"/>
    </row>
    <row r="54" spans="1:11" x14ac:dyDescent="0.35">
      <c r="A54" s="32" t="s">
        <v>106</v>
      </c>
      <c r="B54">
        <f>B50+B51+B52</f>
        <v>1851</v>
      </c>
      <c r="C54">
        <f t="shared" ref="C54:E54" si="34">C50+C51</f>
        <v>1890</v>
      </c>
      <c r="D54">
        <f t="shared" si="34"/>
        <v>1954</v>
      </c>
      <c r="E54">
        <f t="shared" si="34"/>
        <v>2093</v>
      </c>
      <c r="F54" s="58">
        <f>F48-F53</f>
        <v>2687</v>
      </c>
      <c r="G54" s="58"/>
      <c r="H54" s="58"/>
      <c r="I54" s="58"/>
      <c r="J54" s="58"/>
      <c r="K54" s="58"/>
    </row>
    <row r="55" spans="1:11" x14ac:dyDescent="0.35">
      <c r="A55" s="44"/>
    </row>
    <row r="56" spans="1:11" x14ac:dyDescent="0.35">
      <c r="A56" s="44"/>
    </row>
    <row r="57" spans="1:11" x14ac:dyDescent="0.35">
      <c r="A57" s="45" t="s">
        <v>107</v>
      </c>
    </row>
    <row r="58" spans="1:11" x14ac:dyDescent="0.35">
      <c r="A58" s="45" t="s">
        <v>108</v>
      </c>
    </row>
    <row r="59" spans="1:11" x14ac:dyDescent="0.35">
      <c r="A59" s="40" t="str">
        <f>A7</f>
        <v>Accounts and Notes Receivable</v>
      </c>
      <c r="B59" s="58">
        <f>B7</f>
        <v>7822</v>
      </c>
      <c r="C59" s="58">
        <f t="shared" ref="C59:F59" si="35">C7</f>
        <v>8404</v>
      </c>
      <c r="D59" s="58">
        <f t="shared" si="35"/>
        <v>8680</v>
      </c>
      <c r="E59" s="58">
        <f t="shared" si="35"/>
        <v>10163</v>
      </c>
      <c r="F59" s="58">
        <f t="shared" si="35"/>
        <v>11456</v>
      </c>
      <c r="G59" s="58">
        <f>$G$60/365*'PepsiCo-IS'!H6</f>
        <v>11221.933574604964</v>
      </c>
      <c r="H59" s="58">
        <f>$G$60/365*'PepsiCo-IS'!I6</f>
        <v>12157.48466073314</v>
      </c>
      <c r="I59" s="58">
        <f>$G$60/365*'PepsiCo-IS'!J6</f>
        <v>13174.048903460318</v>
      </c>
      <c r="J59" s="58">
        <f>$G$60/365*'PepsiCo-IS'!K6</f>
        <v>14278.90713963987</v>
      </c>
      <c r="K59" s="58">
        <f>$G$60/365*'PepsiCo-IS'!L6</f>
        <v>15480.017931330365</v>
      </c>
    </row>
    <row r="60" spans="1:11" x14ac:dyDescent="0.35">
      <c r="A60" s="2" t="s">
        <v>109</v>
      </c>
      <c r="B60" s="80">
        <f>365*B59/'PepsiCo-IS'!B6</f>
        <v>42.510236595643306</v>
      </c>
      <c r="C60" s="80">
        <f>365*C59/'PepsiCo-IS'!C6</f>
        <v>43.589211618257259</v>
      </c>
      <c r="D60" s="80">
        <f>365*D59/'PepsiCo-IS'!D6</f>
        <v>39.864609809497445</v>
      </c>
      <c r="E60" s="80">
        <f>365*E59/'PepsiCo-IS'!E6</f>
        <v>42.9379456431151</v>
      </c>
      <c r="G60" s="82">
        <f>AVERAGE(B60:E60)</f>
        <v>42.225500916628278</v>
      </c>
      <c r="H60" s="81"/>
      <c r="I60" s="81"/>
      <c r="J60" s="81"/>
      <c r="K60" s="81"/>
    </row>
    <row r="61" spans="1:11" x14ac:dyDescent="0.35">
      <c r="A61" s="40" t="str">
        <f>A8</f>
        <v>Inventories</v>
      </c>
      <c r="B61" s="58">
        <f>B8</f>
        <v>3338</v>
      </c>
      <c r="C61" s="58">
        <f t="shared" ref="C61:F61" si="36">C8</f>
        <v>4172</v>
      </c>
      <c r="D61" s="58">
        <f t="shared" si="36"/>
        <v>4347</v>
      </c>
      <c r="E61" s="58">
        <f t="shared" si="36"/>
        <v>5222</v>
      </c>
      <c r="F61" s="58">
        <f t="shared" si="36"/>
        <v>5969</v>
      </c>
      <c r="G61" s="58">
        <f>$G$62/365*'PepsiCo-IS'!H10</f>
        <v>5375.5777502471656</v>
      </c>
      <c r="H61" s="58">
        <f>$G$62/365*'PepsiCo-IS'!I10</f>
        <v>5886.1245084145412</v>
      </c>
      <c r="I61" s="58">
        <f>$G$62/365*'PepsiCo-IS'!J10</f>
        <v>6378.3006345190252</v>
      </c>
      <c r="J61" s="58">
        <f>$G$62/365*'PepsiCo-IS'!K10</f>
        <v>6913.2248662809552</v>
      </c>
      <c r="K61" s="58">
        <f>$G$62/365*'PepsiCo-IS'!L10</f>
        <v>7494.7503927844191</v>
      </c>
    </row>
    <row r="62" spans="1:11" x14ac:dyDescent="0.35">
      <c r="A62" s="2" t="s">
        <v>110</v>
      </c>
      <c r="B62" s="80">
        <f>365*B61/'PepsiCo-IS'!B10</f>
        <v>43.757003304122968</v>
      </c>
      <c r="C62" s="80">
        <f>365*C61/'PepsiCo-IS'!C10</f>
        <v>51.675716030948827</v>
      </c>
      <c r="D62" s="80">
        <f>365*D61/'PepsiCo-IS'!D10</f>
        <v>45.976673427991884</v>
      </c>
      <c r="E62" s="80">
        <f>365*E61/'PepsiCo-IS'!E10</f>
        <v>50.522981498171021</v>
      </c>
      <c r="G62" s="82">
        <f>AVERAGE(B62:E62)</f>
        <v>47.983093565308678</v>
      </c>
      <c r="H62" s="81"/>
      <c r="I62" s="81"/>
      <c r="J62" s="81"/>
      <c r="K62" s="81"/>
    </row>
    <row r="63" spans="1:11" x14ac:dyDescent="0.35">
      <c r="A63" s="40" t="str">
        <f>A9</f>
        <v>Prepaid expenses and other current assets</v>
      </c>
      <c r="B63" s="58">
        <f>B9</f>
        <v>747</v>
      </c>
      <c r="C63" s="58">
        <f t="shared" ref="C63:F63" si="37">C9</f>
        <v>874</v>
      </c>
      <c r="D63" s="58">
        <f t="shared" si="37"/>
        <v>980</v>
      </c>
      <c r="E63" s="58">
        <f t="shared" si="37"/>
        <v>806</v>
      </c>
      <c r="F63" s="58">
        <f t="shared" si="37"/>
        <v>1075</v>
      </c>
      <c r="G63" s="58">
        <f>$G$64*'PepsiCo-IS'!H6</f>
        <v>1096.2052896944563</v>
      </c>
      <c r="H63" s="58">
        <f>$G$64*'PepsiCo-IS'!I6</f>
        <v>1187.5938229249427</v>
      </c>
      <c r="I63" s="58">
        <f>$G$64*'PepsiCo-IS'!J6</f>
        <v>1286.8960592804988</v>
      </c>
      <c r="J63" s="58">
        <f>$G$64*'PepsiCo-IS'!K6</f>
        <v>1394.8232212807559</v>
      </c>
      <c r="K63" s="58">
        <f>$G$64*'PepsiCo-IS'!L6</f>
        <v>1512.1527344708716</v>
      </c>
    </row>
    <row r="64" spans="1:11" x14ac:dyDescent="0.35">
      <c r="A64" s="2" t="s">
        <v>111</v>
      </c>
      <c r="B64" s="17">
        <f>B63/'PepsiCo-IS'!B6</f>
        <v>1.1122526466252737E-2</v>
      </c>
      <c r="C64" s="17">
        <f>C63/'PepsiCo-IS'!C6</f>
        <v>1.2419712385607913E-2</v>
      </c>
      <c r="D64" s="17">
        <f>D63/'PepsiCo-IS'!D6</f>
        <v>1.2331076830158291E-2</v>
      </c>
      <c r="E64" s="17">
        <f>E63/'PepsiCo-IS'!E6</f>
        <v>9.3295675525511615E-3</v>
      </c>
      <c r="G64" s="61">
        <f>AVERAGE(B64:E64)</f>
        <v>1.1300720808642526E-2</v>
      </c>
      <c r="H64" s="57"/>
      <c r="I64" s="57"/>
      <c r="J64" s="57"/>
      <c r="K64" s="57"/>
    </row>
    <row r="65" spans="1:11" x14ac:dyDescent="0.35">
      <c r="A65" s="40"/>
    </row>
    <row r="66" spans="1:11" x14ac:dyDescent="0.35">
      <c r="A66" s="45" t="s">
        <v>112</v>
      </c>
    </row>
    <row r="67" spans="1:11" x14ac:dyDescent="0.35">
      <c r="A67" s="40" t="str">
        <f>A53</f>
        <v>Accounts payable and other current liabilities-Operating</v>
      </c>
      <c r="B67" s="58">
        <f>B24</f>
        <v>17541</v>
      </c>
      <c r="C67" s="58">
        <f t="shared" ref="C67:F67" si="38">C24</f>
        <v>19592</v>
      </c>
      <c r="D67" s="58">
        <f t="shared" si="38"/>
        <v>21159</v>
      </c>
      <c r="E67" s="58">
        <f t="shared" si="38"/>
        <v>23371</v>
      </c>
      <c r="F67" s="58">
        <f t="shared" si="38"/>
        <v>22005</v>
      </c>
      <c r="G67" s="58">
        <f>$G$68/365*'PepsiCo-IS'!H10</f>
        <v>25837.618334529099</v>
      </c>
      <c r="H67" s="58">
        <f>$G$68/365*'PepsiCo-IS'!I10</f>
        <v>28291.552198447869</v>
      </c>
      <c r="I67" s="58">
        <f>$G$68/365*'PepsiCo-IS'!J10</f>
        <v>30657.187947846156</v>
      </c>
      <c r="J67" s="58">
        <f>$G$68/365*'PepsiCo-IS'!K10</f>
        <v>33228.291702697519</v>
      </c>
      <c r="K67" s="58">
        <f>$G$68/365*'PepsiCo-IS'!L10</f>
        <v>36023.383747434804</v>
      </c>
    </row>
    <row r="68" spans="1:11" x14ac:dyDescent="0.35">
      <c r="A68" s="2" t="s">
        <v>200</v>
      </c>
      <c r="B68" s="80">
        <f>365*B67/'PepsiCo-IS'!B10</f>
        <v>229.94056170090505</v>
      </c>
      <c r="C68" s="80">
        <f>365*C67/'PepsiCo-IS'!C10</f>
        <v>242.67272974073572</v>
      </c>
      <c r="D68" s="80">
        <f>365*D67/'PepsiCo-IS'!D10</f>
        <v>223.79121993625037</v>
      </c>
      <c r="E68" s="80">
        <f>365*E67/'PepsiCo-IS'!E10</f>
        <v>226.11501351852834</v>
      </c>
      <c r="G68" s="82">
        <f>AVERAGE(B68:E68)</f>
        <v>230.62988122410488</v>
      </c>
      <c r="H68" s="81"/>
      <c r="I68" s="81"/>
      <c r="J68" s="81"/>
      <c r="K68" s="81"/>
    </row>
    <row r="69" spans="1:11" x14ac:dyDescent="0.35">
      <c r="A69" s="40"/>
    </row>
    <row r="70" spans="1:11" x14ac:dyDescent="0.35">
      <c r="A70" s="40"/>
    </row>
  </sheetData>
  <mergeCells count="3">
    <mergeCell ref="B44:C44"/>
    <mergeCell ref="D44:E44"/>
    <mergeCell ref="F50:F5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7366-8269-49C8-A59C-948313DDFF90}">
  <dimension ref="A1:L39"/>
  <sheetViews>
    <sheetView showGridLines="0" topLeftCell="A23" zoomScale="77" zoomScaleNormal="140" workbookViewId="0">
      <selection activeCell="H15" sqref="H15"/>
    </sheetView>
  </sheetViews>
  <sheetFormatPr defaultRowHeight="14.5" x14ac:dyDescent="0.35"/>
  <cols>
    <col min="1" max="1" width="44" bestFit="1" customWidth="1"/>
    <col min="2" max="6" width="12.08984375" bestFit="1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x14ac:dyDescent="0.35">
      <c r="A3" s="1" t="s">
        <v>138</v>
      </c>
      <c r="B3" s="13" t="s">
        <v>16</v>
      </c>
      <c r="C3" s="13" t="s">
        <v>15</v>
      </c>
      <c r="D3" s="13" t="s">
        <v>15</v>
      </c>
      <c r="E3" s="13" t="s">
        <v>15</v>
      </c>
      <c r="F3" s="13" t="s">
        <v>15</v>
      </c>
    </row>
    <row r="4" spans="1:12" x14ac:dyDescent="0.35">
      <c r="A4" s="4"/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</row>
    <row r="5" spans="1:12" x14ac:dyDescent="0.35">
      <c r="A5" s="8"/>
    </row>
    <row r="6" spans="1:12" x14ac:dyDescent="0.35">
      <c r="A6" s="102" t="s">
        <v>139</v>
      </c>
    </row>
    <row r="7" spans="1:12" x14ac:dyDescent="0.35">
      <c r="A7" s="103" t="s">
        <v>140</v>
      </c>
      <c r="B7" s="21">
        <f ca="1">'PepsiCo-IS'!G38</f>
        <v>7135.4997256232746</v>
      </c>
      <c r="C7" s="21">
        <f ca="1">'PepsiCo-IS'!I38</f>
        <v>11791.122964592034</v>
      </c>
      <c r="D7" s="21">
        <f ca="1">'PepsiCo-IS'!J38</f>
        <v>12642.419477975105</v>
      </c>
      <c r="E7" s="21">
        <f ca="1">'PepsiCo-IS'!K38</f>
        <v>13579.11952106635</v>
      </c>
      <c r="F7" s="21">
        <f ca="1">'PepsiCo-IS'!L38</f>
        <v>14527.795301503094</v>
      </c>
    </row>
    <row r="8" spans="1:12" x14ac:dyDescent="0.35">
      <c r="A8" s="103" t="s">
        <v>141</v>
      </c>
      <c r="B8" s="21">
        <f>'Fixed Assets Schedule'!H27+'Fixed Assets Schedule'!H8</f>
        <v>1655.9079825572508</v>
      </c>
      <c r="C8" s="21">
        <f>'Fixed Assets Schedule'!I27+'Fixed Assets Schedule'!I8</f>
        <v>3580.5255854310208</v>
      </c>
      <c r="D8" s="21">
        <f>'Fixed Assets Schedule'!J27+'Fixed Assets Schedule'!J8</f>
        <v>3870.9445636983824</v>
      </c>
      <c r="E8" s="21">
        <f>'Fixed Assets Schedule'!K27+'Fixed Assets Schedule'!K8</f>
        <v>4187.0863837589877</v>
      </c>
      <c r="F8" s="21">
        <f>'Fixed Assets Schedule'!L27+'Fixed Assets Schedule'!L8</f>
        <v>4531.241943903201</v>
      </c>
    </row>
    <row r="9" spans="1:12" x14ac:dyDescent="0.35">
      <c r="A9" s="103" t="s">
        <v>142</v>
      </c>
      <c r="B9" s="28">
        <f>'PepsiCo-IS'!G63</f>
        <v>253.27345822545311</v>
      </c>
      <c r="C9" s="28">
        <f>'PepsiCo-IS'!I63</f>
        <v>395.15426336728279</v>
      </c>
      <c r="D9" s="28">
        <f>'PepsiCo-IS'!J63</f>
        <v>428.19561243826354</v>
      </c>
      <c r="E9" s="28">
        <f>'PepsiCo-IS'!K63</f>
        <v>464.10677783359608</v>
      </c>
      <c r="F9" s="28">
        <f>'PepsiCo-IS'!L63</f>
        <v>503.14643639437685</v>
      </c>
    </row>
    <row r="10" spans="1:12" x14ac:dyDescent="0.35">
      <c r="A10" s="104" t="s">
        <v>143</v>
      </c>
    </row>
    <row r="11" spans="1:12" x14ac:dyDescent="0.35">
      <c r="A11" s="103" t="s">
        <v>144</v>
      </c>
      <c r="B11" s="105">
        <f>-('PepsiCo-BS'!G7-'PepsiCo-BS'!F7)</f>
        <v>234.06642539503628</v>
      </c>
      <c r="C11" s="105">
        <f>-('PepsiCo-BS'!H7-'PepsiCo-BS'!G7)</f>
        <v>-935.55108612817639</v>
      </c>
      <c r="D11" s="105">
        <f>-('PepsiCo-BS'!I7-'PepsiCo-BS'!H7)</f>
        <v>-1016.5642427271778</v>
      </c>
      <c r="E11" s="105">
        <f>-('PepsiCo-BS'!J7-'PepsiCo-BS'!I7)</f>
        <v>-1104.8582361795525</v>
      </c>
      <c r="F11" s="105">
        <f>-('PepsiCo-BS'!K7-'PepsiCo-BS'!J7)</f>
        <v>-1201.1107916904948</v>
      </c>
    </row>
    <row r="12" spans="1:12" x14ac:dyDescent="0.35">
      <c r="A12" s="103" t="s">
        <v>74</v>
      </c>
      <c r="B12" s="105">
        <f>-('PepsiCo-BS'!G8-'PepsiCo-BS'!F8)</f>
        <v>593.42224975283443</v>
      </c>
      <c r="C12" s="105">
        <f>-('PepsiCo-BS'!H8-'PepsiCo-BS'!G8)</f>
        <v>-510.54675816737563</v>
      </c>
      <c r="D12" s="105">
        <f>-('PepsiCo-BS'!I8-'PepsiCo-BS'!H8)</f>
        <v>-492.17612610448396</v>
      </c>
      <c r="E12" s="105">
        <f>-('PepsiCo-BS'!J8-'PepsiCo-BS'!I8)</f>
        <v>-534.92423176193006</v>
      </c>
      <c r="F12" s="105">
        <f>-('PepsiCo-BS'!K8-'PepsiCo-BS'!J8)</f>
        <v>-581.52552650346388</v>
      </c>
    </row>
    <row r="13" spans="1:12" x14ac:dyDescent="0.35">
      <c r="A13" s="106" t="s">
        <v>75</v>
      </c>
      <c r="B13" s="105">
        <f>-('PepsiCo-BS'!G9-'PepsiCo-BS'!F9)</f>
        <v>-21.205289694456269</v>
      </c>
      <c r="C13" s="105">
        <f>-('PepsiCo-BS'!H9-'PepsiCo-BS'!G9)</f>
        <v>-91.388533230486473</v>
      </c>
      <c r="D13" s="105">
        <f>-('PepsiCo-BS'!I9-'PepsiCo-BS'!H9)</f>
        <v>-99.302236355556033</v>
      </c>
      <c r="E13" s="105">
        <f>-('PepsiCo-BS'!J9-'PepsiCo-BS'!I9)</f>
        <v>-107.92716200025711</v>
      </c>
      <c r="F13" s="105">
        <f>-('PepsiCo-BS'!K9-'PepsiCo-BS'!J9)</f>
        <v>-117.32951319011568</v>
      </c>
    </row>
    <row r="14" spans="1:12" x14ac:dyDescent="0.35">
      <c r="A14" s="103" t="s">
        <v>145</v>
      </c>
      <c r="B14" s="21">
        <f>'PepsiCo-BS'!G24-'PepsiCo-BS'!F24</f>
        <v>3832.6183345290992</v>
      </c>
      <c r="C14" s="21">
        <f>'PepsiCo-BS'!H24-'PepsiCo-BS'!G24</f>
        <v>2453.9338639187699</v>
      </c>
      <c r="D14" s="21">
        <f>'PepsiCo-BS'!I24-'PepsiCo-BS'!H24</f>
        <v>2365.6357493982869</v>
      </c>
      <c r="E14" s="21">
        <f>'PepsiCo-BS'!J24-'PepsiCo-BS'!I24</f>
        <v>2571.1037548513632</v>
      </c>
      <c r="F14" s="21">
        <f>'PepsiCo-BS'!K24-'PepsiCo-BS'!J24</f>
        <v>2795.0920447372846</v>
      </c>
    </row>
    <row r="15" spans="1:12" x14ac:dyDescent="0.35">
      <c r="A15" s="8"/>
      <c r="H15" s="114"/>
      <c r="I15" s="114"/>
      <c r="J15" s="114"/>
      <c r="K15" s="114"/>
      <c r="L15" s="114"/>
    </row>
    <row r="16" spans="1:12" x14ac:dyDescent="0.35">
      <c r="A16" s="102" t="s">
        <v>146</v>
      </c>
      <c r="B16" s="107">
        <f ca="1">SUM(B11:B14,B7:B9)</f>
        <v>13683.582886388493</v>
      </c>
      <c r="C16" s="107">
        <f t="shared" ref="C16:F16" ca="1" si="0">SUM(C11:C14,C7:C9)</f>
        <v>16683.250299783071</v>
      </c>
      <c r="D16" s="107">
        <f t="shared" ca="1" si="0"/>
        <v>17699.152798322819</v>
      </c>
      <c r="E16" s="107">
        <f t="shared" ca="1" si="0"/>
        <v>19053.706807568557</v>
      </c>
      <c r="F16" s="107">
        <f t="shared" ca="1" si="0"/>
        <v>20457.309895153885</v>
      </c>
      <c r="H16" s="114"/>
      <c r="I16" s="114"/>
      <c r="J16" s="114"/>
      <c r="K16" s="114"/>
      <c r="L16" s="114"/>
    </row>
    <row r="17" spans="1:6" x14ac:dyDescent="0.35">
      <c r="A17" s="8"/>
    </row>
    <row r="18" spans="1:6" x14ac:dyDescent="0.35">
      <c r="A18" s="102" t="s">
        <v>147</v>
      </c>
    </row>
    <row r="19" spans="1:6" x14ac:dyDescent="0.35">
      <c r="A19" s="103" t="s">
        <v>148</v>
      </c>
      <c r="B19" s="105">
        <f>-'Fixed Assets Schedule'!H6</f>
        <v>-6708.4558553002753</v>
      </c>
      <c r="C19" s="105">
        <f>-'Fixed Assets Schedule'!I6</f>
        <v>-4224.2601792242604</v>
      </c>
      <c r="D19" s="105">
        <f>-'Fixed Assets Schedule'!J6</f>
        <v>-6342.5552869851999</v>
      </c>
      <c r="E19" s="105">
        <f>-'Fixed Assets Schedule'!K6</f>
        <v>-6882.0533393802107</v>
      </c>
      <c r="F19" s="105">
        <f>-'Fixed Assets Schedule'!L6</f>
        <v>-7469.2154886825665</v>
      </c>
    </row>
    <row r="20" spans="1:6" x14ac:dyDescent="0.35">
      <c r="A20" s="8"/>
    </row>
    <row r="21" spans="1:6" x14ac:dyDescent="0.35">
      <c r="A21" s="102" t="s">
        <v>149</v>
      </c>
      <c r="B21" s="105">
        <f>B19</f>
        <v>-6708.4558553002753</v>
      </c>
      <c r="C21" s="105">
        <f t="shared" ref="C21:F21" si="1">C19</f>
        <v>-4224.2601792242604</v>
      </c>
      <c r="D21" s="105">
        <f t="shared" si="1"/>
        <v>-6342.5552869851999</v>
      </c>
      <c r="E21" s="105">
        <f t="shared" si="1"/>
        <v>-6882.0533393802107</v>
      </c>
      <c r="F21" s="105">
        <f t="shared" si="1"/>
        <v>-7469.2154886825665</v>
      </c>
    </row>
    <row r="22" spans="1:6" x14ac:dyDescent="0.35">
      <c r="A22" s="8"/>
    </row>
    <row r="23" spans="1:6" x14ac:dyDescent="0.35">
      <c r="A23" s="102" t="s">
        <v>150</v>
      </c>
    </row>
    <row r="24" spans="1:6" x14ac:dyDescent="0.35">
      <c r="A24" s="103" t="s">
        <v>151</v>
      </c>
      <c r="B24" s="109">
        <f ca="1">-('PepsiCo-IS'!G67*'PepsiCo-IS'!G46)</f>
        <v>-4969.8163871360612</v>
      </c>
      <c r="C24" s="109">
        <f ca="1">-('PepsiCo-IS'!I67*'PepsiCo-IS'!I46)</f>
        <v>-8080.4577567474562</v>
      </c>
      <c r="D24" s="109">
        <f ca="1">-('PepsiCo-IS'!J67*'PepsiCo-IS'!J46)</f>
        <v>-8663.8513432205255</v>
      </c>
      <c r="E24" s="109">
        <f ca="1">-('PepsiCo-IS'!K67*'PepsiCo-IS'!K46)</f>
        <v>-9305.7719772153887</v>
      </c>
      <c r="F24" s="109">
        <f ca="1">-('PepsiCo-IS'!L67*'PepsiCo-IS'!L46)</f>
        <v>-9955.8995852208536</v>
      </c>
    </row>
    <row r="25" spans="1:6" x14ac:dyDescent="0.35">
      <c r="A25" s="103" t="s">
        <v>152</v>
      </c>
      <c r="B25" s="110">
        <f ca="1">B16+B21+B24</f>
        <v>2005.3106439521562</v>
      </c>
      <c r="C25" s="110">
        <f t="shared" ref="C25:F25" ca="1" si="2">C16+C21+C24</f>
        <v>4378.5323638113541</v>
      </c>
      <c r="D25" s="110">
        <f t="shared" ca="1" si="2"/>
        <v>2692.7461681170935</v>
      </c>
      <c r="E25" s="110">
        <f t="shared" ca="1" si="2"/>
        <v>2865.8814909729572</v>
      </c>
      <c r="F25" s="110">
        <f t="shared" ca="1" si="2"/>
        <v>3032.1948212504649</v>
      </c>
    </row>
    <row r="26" spans="1:6" x14ac:dyDescent="0.35">
      <c r="A26" s="102"/>
      <c r="B26" s="105"/>
      <c r="C26" s="105"/>
      <c r="D26" s="105"/>
      <c r="E26" s="105"/>
      <c r="F26" s="105"/>
    </row>
    <row r="27" spans="1:6" x14ac:dyDescent="0.35">
      <c r="A27" s="103" t="s">
        <v>153</v>
      </c>
      <c r="B27" s="109">
        <f ca="1">'Pepsico-Debt'!B41</f>
        <v>0</v>
      </c>
      <c r="C27" s="109">
        <f ca="1">'Pepsico-Debt'!C41</f>
        <v>0</v>
      </c>
      <c r="D27" s="109">
        <f ca="1">'Pepsico-Debt'!D41</f>
        <v>0</v>
      </c>
      <c r="E27" s="109">
        <f ca="1">'Pepsico-Debt'!E41</f>
        <v>0</v>
      </c>
      <c r="F27" s="109">
        <f ca="1">'Pepsico-Debt'!F41</f>
        <v>0</v>
      </c>
    </row>
    <row r="28" spans="1:6" x14ac:dyDescent="0.35">
      <c r="A28" s="103" t="s">
        <v>154</v>
      </c>
      <c r="B28" s="109">
        <f ca="1">'Pepsico-Debt'!B42+'Pepsico-Debt'!B9</f>
        <v>-4990</v>
      </c>
      <c r="C28" s="109">
        <f ca="1">'Pepsico-Debt'!C42+'Pepsico-Debt'!C9</f>
        <v>-2867</v>
      </c>
      <c r="D28" s="109">
        <f ca="1">'Pepsico-Debt'!D42+'Pepsico-Debt'!D9</f>
        <v>-3193</v>
      </c>
      <c r="E28" s="109">
        <f ca="1">'Pepsico-Debt'!E42+'Pepsico-Debt'!E9</f>
        <v>-3246</v>
      </c>
      <c r="F28" s="109">
        <f ca="1">'Pepsico-Debt'!F42+'Pepsico-Debt'!F9</f>
        <v>-2523</v>
      </c>
    </row>
    <row r="29" spans="1:6" x14ac:dyDescent="0.35">
      <c r="A29" s="8"/>
    </row>
    <row r="30" spans="1:6" x14ac:dyDescent="0.35">
      <c r="A30" s="103"/>
    </row>
    <row r="31" spans="1:6" x14ac:dyDescent="0.35">
      <c r="A31" s="102" t="s">
        <v>155</v>
      </c>
      <c r="B31" s="108">
        <f ca="1">B24+B27+B28</f>
        <v>-9959.8163871360612</v>
      </c>
      <c r="C31" s="108">
        <f t="shared" ref="C31:F31" ca="1" si="3">C24+C27+C28</f>
        <v>-10947.457756747455</v>
      </c>
      <c r="D31" s="108">
        <f t="shared" ca="1" si="3"/>
        <v>-11856.851343220525</v>
      </c>
      <c r="E31" s="108">
        <f t="shared" ca="1" si="3"/>
        <v>-12551.771977215389</v>
      </c>
      <c r="F31" s="108">
        <f t="shared" ca="1" si="3"/>
        <v>-12478.899585220854</v>
      </c>
    </row>
    <row r="32" spans="1:6" x14ac:dyDescent="0.35">
      <c r="A32" s="8"/>
    </row>
    <row r="33" spans="1:6" x14ac:dyDescent="0.35">
      <c r="A33" s="102" t="s">
        <v>156</v>
      </c>
      <c r="B33" s="111">
        <f ca="1">B31+B21+B16</f>
        <v>-2984.6893560478456</v>
      </c>
      <c r="C33" s="111">
        <f t="shared" ref="C33:F33" ca="1" si="4">C31+C21+C16</f>
        <v>1511.532363811355</v>
      </c>
      <c r="D33" s="111">
        <f t="shared" ca="1" si="4"/>
        <v>-500.25383188290652</v>
      </c>
      <c r="E33" s="111">
        <f t="shared" ca="1" si="4"/>
        <v>-380.118509027041</v>
      </c>
      <c r="F33" s="111">
        <f t="shared" ca="1" si="4"/>
        <v>509.19482125046488</v>
      </c>
    </row>
    <row r="34" spans="1:6" x14ac:dyDescent="0.35">
      <c r="A34" s="102" t="s">
        <v>157</v>
      </c>
      <c r="B34" s="21">
        <f>'PepsiCo-BS'!F5</f>
        <v>6116</v>
      </c>
      <c r="C34" s="21">
        <f ca="1">'PepsiCo-BS'!G5</f>
        <v>3131.3106439521544</v>
      </c>
      <c r="D34" s="21">
        <f ca="1">'PepsiCo-BS'!H5</f>
        <v>4642.8430077635094</v>
      </c>
      <c r="E34" s="21">
        <f ca="1">'PepsiCo-BS'!I5</f>
        <v>4142.5891758806029</v>
      </c>
      <c r="F34" s="21">
        <f ca="1">'PepsiCo-BS'!J5</f>
        <v>3762.4706668535619</v>
      </c>
    </row>
    <row r="35" spans="1:6" ht="15" thickBot="1" x14ac:dyDescent="0.4">
      <c r="A35" s="102" t="s">
        <v>158</v>
      </c>
      <c r="B35" s="112">
        <f ca="1">B34+B33</f>
        <v>3131.3106439521544</v>
      </c>
      <c r="C35" s="112">
        <f t="shared" ref="C35:F35" ca="1" si="5">C34+C33</f>
        <v>4642.8430077635094</v>
      </c>
      <c r="D35" s="112">
        <f t="shared" ca="1" si="5"/>
        <v>4142.5891758806029</v>
      </c>
      <c r="E35" s="112">
        <f t="shared" ca="1" si="5"/>
        <v>3762.4706668535619</v>
      </c>
      <c r="F35" s="112">
        <f t="shared" ca="1" si="5"/>
        <v>4271.6654881040267</v>
      </c>
    </row>
    <row r="36" spans="1:6" ht="15" thickTop="1" x14ac:dyDescent="0.35">
      <c r="A36" s="8"/>
    </row>
    <row r="37" spans="1:6" x14ac:dyDescent="0.35">
      <c r="A37" s="9" t="s">
        <v>159</v>
      </c>
    </row>
    <row r="38" spans="1:6" x14ac:dyDescent="0.35">
      <c r="A38" s="8"/>
    </row>
    <row r="39" spans="1:6" x14ac:dyDescent="0.35">
      <c r="A3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82EB-AF18-4489-9951-63E96801DDB5}">
  <dimension ref="A1:Q52"/>
  <sheetViews>
    <sheetView showGridLines="0" topLeftCell="A28" zoomScale="67" zoomScaleNormal="150" workbookViewId="0">
      <selection activeCell="L25" sqref="L25"/>
    </sheetView>
  </sheetViews>
  <sheetFormatPr defaultRowHeight="14.5" x14ac:dyDescent="0.35"/>
  <cols>
    <col min="1" max="1" width="31.6328125" bestFit="1" customWidth="1"/>
    <col min="2" max="2" width="13.90625" bestFit="1" customWidth="1"/>
    <col min="3" max="6" width="12.08984375" bestFit="1" customWidth="1"/>
    <col min="9" max="9" width="26.08984375" bestFit="1" customWidth="1"/>
    <col min="10" max="10" width="17.90625" bestFit="1" customWidth="1"/>
    <col min="13" max="13" width="8.453125" bestFit="1" customWidth="1"/>
    <col min="14" max="17" width="9.453125" bestFit="1" customWidth="1"/>
  </cols>
  <sheetData>
    <row r="1" spans="1:17" x14ac:dyDescent="0.35">
      <c r="A1" s="1" t="s">
        <v>0</v>
      </c>
    </row>
    <row r="2" spans="1:17" x14ac:dyDescent="0.35">
      <c r="A2" s="2" t="s">
        <v>1</v>
      </c>
    </row>
    <row r="3" spans="1:17" x14ac:dyDescent="0.35">
      <c r="A3" s="1" t="s">
        <v>160</v>
      </c>
      <c r="B3" s="13" t="s">
        <v>16</v>
      </c>
      <c r="C3" s="13" t="s">
        <v>15</v>
      </c>
      <c r="D3" s="13" t="s">
        <v>15</v>
      </c>
      <c r="E3" s="13" t="s">
        <v>15</v>
      </c>
      <c r="F3" s="13" t="s">
        <v>15</v>
      </c>
    </row>
    <row r="4" spans="1:17" x14ac:dyDescent="0.35">
      <c r="A4" s="4"/>
      <c r="B4" s="113" t="s">
        <v>21</v>
      </c>
      <c r="C4" s="113" t="s">
        <v>22</v>
      </c>
      <c r="D4" s="113" t="s">
        <v>23</v>
      </c>
      <c r="E4" s="113" t="s">
        <v>24</v>
      </c>
      <c r="F4" s="113" t="s">
        <v>25</v>
      </c>
    </row>
    <row r="5" spans="1:17" x14ac:dyDescent="0.35">
      <c r="A5" s="8"/>
    </row>
    <row r="6" spans="1:17" x14ac:dyDescent="0.35">
      <c r="A6" s="8" t="s">
        <v>161</v>
      </c>
      <c r="B6" s="21">
        <f ca="1">'Pepsico-CFS'!B25</f>
        <v>2005.3106439521562</v>
      </c>
      <c r="C6" s="21">
        <f ca="1">'Pepsico-CFS'!C25</f>
        <v>4378.5323638113541</v>
      </c>
      <c r="D6" s="21">
        <f ca="1">'Pepsico-CFS'!D25</f>
        <v>2692.7461681170935</v>
      </c>
      <c r="E6" s="21">
        <f ca="1">'Pepsico-CFS'!E25</f>
        <v>2865.8814909729572</v>
      </c>
      <c r="F6" s="21">
        <f ca="1">'Pepsico-CFS'!F25</f>
        <v>3032.1948212504649</v>
      </c>
    </row>
    <row r="7" spans="1:17" x14ac:dyDescent="0.35">
      <c r="A7" s="8" t="s">
        <v>162</v>
      </c>
      <c r="B7" s="21">
        <f>'PepsiCo-BS'!F5</f>
        <v>6116</v>
      </c>
      <c r="C7" s="21">
        <f ca="1">'PepsiCo-BS'!G5</f>
        <v>3131.3106439521544</v>
      </c>
      <c r="D7" s="21">
        <f ca="1">'PepsiCo-BS'!H5</f>
        <v>4642.8430077635094</v>
      </c>
      <c r="E7" s="21">
        <f ca="1">'PepsiCo-BS'!I5</f>
        <v>4142.5891758806029</v>
      </c>
      <c r="F7" s="21">
        <f ca="1">'PepsiCo-BS'!J5</f>
        <v>3762.4706668535619</v>
      </c>
    </row>
    <row r="8" spans="1:17" x14ac:dyDescent="0.35">
      <c r="A8" s="8" t="s">
        <v>163</v>
      </c>
      <c r="B8" s="59">
        <f ca="1">B6+B7</f>
        <v>8121.3106439521562</v>
      </c>
      <c r="C8" s="59">
        <f t="shared" ref="C8:F8" ca="1" si="0">C6+C7</f>
        <v>7509.8430077635085</v>
      </c>
      <c r="D8" s="59">
        <f t="shared" ca="1" si="0"/>
        <v>7335.5891758806029</v>
      </c>
      <c r="E8" s="59">
        <f t="shared" ca="1" si="0"/>
        <v>7008.47066685356</v>
      </c>
      <c r="F8" s="59">
        <f t="shared" ca="1" si="0"/>
        <v>6794.6654881040267</v>
      </c>
    </row>
    <row r="9" spans="1:17" x14ac:dyDescent="0.35">
      <c r="A9" s="8" t="s">
        <v>164</v>
      </c>
      <c r="B9" s="114">
        <f>-(I17+I23)</f>
        <v>-822</v>
      </c>
      <c r="C9" s="114">
        <f>-I18</f>
        <v>-2867</v>
      </c>
      <c r="D9" s="114">
        <f>-(I19)</f>
        <v>-3193</v>
      </c>
      <c r="E9" s="114">
        <f>-(I20+I24+I25)</f>
        <v>-3246</v>
      </c>
      <c r="F9" s="114">
        <f>-(I21)</f>
        <v>-2523</v>
      </c>
      <c r="G9" s="114">
        <f>-(I22+I26)</f>
        <v>-25302</v>
      </c>
    </row>
    <row r="10" spans="1:17" ht="15" thickBot="1" x14ac:dyDescent="0.4">
      <c r="A10" s="102" t="s">
        <v>165</v>
      </c>
      <c r="B10" s="64">
        <f ca="1">B8+B9</f>
        <v>7299.3106439521562</v>
      </c>
      <c r="C10" s="64">
        <f ca="1">C8+C9</f>
        <v>4642.8430077635085</v>
      </c>
      <c r="D10" s="64">
        <f t="shared" ref="D10:F10" ca="1" si="1">D8+D9</f>
        <v>4142.5891758806029</v>
      </c>
      <c r="E10" s="64">
        <f t="shared" ca="1" si="1"/>
        <v>3762.47066685356</v>
      </c>
      <c r="F10" s="64">
        <f t="shared" ca="1" si="1"/>
        <v>4271.6654881040267</v>
      </c>
    </row>
    <row r="11" spans="1:17" ht="15" thickTop="1" x14ac:dyDescent="0.35">
      <c r="A11" s="9" t="s">
        <v>159</v>
      </c>
    </row>
    <row r="13" spans="1:17" x14ac:dyDescent="0.35">
      <c r="L13" s="8"/>
      <c r="M13" s="299" t="s">
        <v>166</v>
      </c>
      <c r="N13" s="300"/>
      <c r="O13" s="300"/>
      <c r="P13" s="300"/>
      <c r="Q13" s="300"/>
    </row>
    <row r="14" spans="1:17" x14ac:dyDescent="0.35">
      <c r="A14" s="115" t="s">
        <v>167</v>
      </c>
      <c r="B14" s="116"/>
      <c r="C14" s="117"/>
      <c r="D14" s="117"/>
      <c r="E14" s="117"/>
      <c r="F14" s="301" t="s">
        <v>168</v>
      </c>
      <c r="G14" s="303" t="s">
        <v>31</v>
      </c>
      <c r="H14" s="300"/>
      <c r="I14" s="301" t="s">
        <v>169</v>
      </c>
      <c r="L14" s="8"/>
      <c r="M14" s="118" t="str">
        <f>B3</f>
        <v>6 months</v>
      </c>
      <c r="N14" s="118" t="str">
        <f t="shared" ref="N14:Q14" si="2">C3</f>
        <v>12 months</v>
      </c>
      <c r="O14" s="118" t="str">
        <f t="shared" si="2"/>
        <v>12 months</v>
      </c>
      <c r="P14" s="118" t="str">
        <f t="shared" si="2"/>
        <v>12 months</v>
      </c>
      <c r="Q14" s="118" t="str">
        <f t="shared" si="2"/>
        <v>12 months</v>
      </c>
    </row>
    <row r="15" spans="1:17" x14ac:dyDescent="0.35">
      <c r="A15" s="117"/>
      <c r="B15" s="116" t="s">
        <v>170</v>
      </c>
      <c r="C15" s="304" t="s">
        <v>171</v>
      </c>
      <c r="D15" s="302"/>
      <c r="E15" s="119" t="s">
        <v>172</v>
      </c>
      <c r="F15" s="302"/>
      <c r="G15" s="120" t="s">
        <v>173</v>
      </c>
      <c r="H15" s="120" t="s">
        <v>174</v>
      </c>
      <c r="I15" s="302"/>
      <c r="L15" s="121">
        <v>45094</v>
      </c>
      <c r="M15" s="122">
        <v>45291</v>
      </c>
      <c r="N15" s="122">
        <v>45657</v>
      </c>
      <c r="O15" s="122">
        <v>46022</v>
      </c>
      <c r="P15" s="122">
        <v>46387</v>
      </c>
      <c r="Q15" s="122">
        <v>46752</v>
      </c>
    </row>
    <row r="16" spans="1:17" x14ac:dyDescent="0.35">
      <c r="A16" s="8" t="s">
        <v>175</v>
      </c>
      <c r="B16" s="121">
        <v>44926</v>
      </c>
      <c r="C16" s="123">
        <v>2.4E-2</v>
      </c>
      <c r="D16" s="123">
        <v>2.4E-2</v>
      </c>
      <c r="E16" s="123">
        <f t="shared" ref="E16:E28" si="3">AVERAGE(C16:D16)</f>
        <v>2.4E-2</v>
      </c>
      <c r="F16" s="105">
        <v>0</v>
      </c>
      <c r="G16" s="124"/>
      <c r="H16" s="124"/>
      <c r="I16" s="105">
        <f t="shared" ref="I16:I28" si="4">F16+G16-H16</f>
        <v>0</v>
      </c>
      <c r="J16" s="125" t="s">
        <v>176</v>
      </c>
      <c r="L16" s="8"/>
      <c r="M16" s="19">
        <f>IF($B16&gt;L$15,$I16*$E16*(MIN($B16-L$15,M$15-L$15))/365,0)</f>
        <v>0</v>
      </c>
      <c r="N16" s="19">
        <f t="shared" ref="N16:Q17" si="5">IF($B16&gt;M$15,$I16*$E16*(MIN($B16-M$15,N$15-M$15))/365,0)</f>
        <v>0</v>
      </c>
      <c r="O16" s="19">
        <f t="shared" si="5"/>
        <v>0</v>
      </c>
      <c r="P16" s="19">
        <f t="shared" si="5"/>
        <v>0</v>
      </c>
      <c r="Q16" s="19">
        <f t="shared" si="5"/>
        <v>0</v>
      </c>
    </row>
    <row r="17" spans="1:17" x14ac:dyDescent="0.35">
      <c r="A17" s="8" t="s">
        <v>177</v>
      </c>
      <c r="B17" s="121">
        <v>45291</v>
      </c>
      <c r="C17" s="123">
        <v>1.7000000000000001E-2</v>
      </c>
      <c r="D17" s="123">
        <v>1.4999999999999999E-2</v>
      </c>
      <c r="E17" s="123">
        <f t="shared" si="3"/>
        <v>1.6E-2</v>
      </c>
      <c r="F17" s="105">
        <v>3094</v>
      </c>
      <c r="G17" s="124"/>
      <c r="H17" s="124">
        <v>2300</v>
      </c>
      <c r="I17" s="105">
        <f>F17+G17-H17</f>
        <v>794</v>
      </c>
      <c r="J17" s="125" t="s">
        <v>176</v>
      </c>
      <c r="L17" s="126">
        <f>I17*E17*(B17-L15)/365</f>
        <v>6.8566794520547951</v>
      </c>
      <c r="M17" s="19">
        <f>IF($B17&gt;L$15,$I17*$E17*(MIN($B17-L$15,M$15-L$15))/365,0)</f>
        <v>6.8566794520547951</v>
      </c>
      <c r="N17" s="19">
        <f t="shared" si="5"/>
        <v>0</v>
      </c>
      <c r="O17" s="19">
        <f t="shared" si="5"/>
        <v>0</v>
      </c>
      <c r="P17" s="19">
        <f t="shared" si="5"/>
        <v>0</v>
      </c>
      <c r="Q17" s="19">
        <f t="shared" si="5"/>
        <v>0</v>
      </c>
    </row>
    <row r="18" spans="1:17" x14ac:dyDescent="0.35">
      <c r="A18" s="8" t="s">
        <v>178</v>
      </c>
      <c r="B18" s="121">
        <v>45657</v>
      </c>
      <c r="C18" s="123">
        <v>2.1999999999999999E-2</v>
      </c>
      <c r="D18" s="123">
        <v>2.1000000000000001E-2</v>
      </c>
      <c r="E18" s="123">
        <f t="shared" si="3"/>
        <v>2.1499999999999998E-2</v>
      </c>
      <c r="F18" s="105">
        <v>2867</v>
      </c>
      <c r="G18" s="124"/>
      <c r="H18" s="124"/>
      <c r="I18" s="105">
        <f t="shared" si="4"/>
        <v>2867</v>
      </c>
      <c r="J18" s="125" t="s">
        <v>176</v>
      </c>
      <c r="L18" s="8"/>
      <c r="M18" s="19">
        <f t="shared" ref="M18:Q28" si="6">IF($B18&gt;L$15,$I18*$E18*(MIN($B18-L$15,M$15-L$15))/365,0)</f>
        <v>33.268982191780822</v>
      </c>
      <c r="N18" s="19">
        <f t="shared" si="6"/>
        <v>61.809378082191778</v>
      </c>
      <c r="O18" s="19">
        <f t="shared" si="6"/>
        <v>0</v>
      </c>
      <c r="P18" s="19">
        <f t="shared" si="6"/>
        <v>0</v>
      </c>
      <c r="Q18" s="19">
        <f t="shared" si="6"/>
        <v>0</v>
      </c>
    </row>
    <row r="19" spans="1:17" x14ac:dyDescent="0.35">
      <c r="A19" s="8" t="s">
        <v>179</v>
      </c>
      <c r="B19" s="121">
        <v>46022</v>
      </c>
      <c r="C19" s="123">
        <v>2.7E-2</v>
      </c>
      <c r="D19" s="123">
        <v>2.7E-2</v>
      </c>
      <c r="E19" s="123">
        <f t="shared" si="3"/>
        <v>2.7E-2</v>
      </c>
      <c r="F19" s="105">
        <v>3193</v>
      </c>
      <c r="G19" s="124"/>
      <c r="H19" s="124"/>
      <c r="I19" s="105">
        <f t="shared" si="4"/>
        <v>3193</v>
      </c>
      <c r="J19" s="125" t="s">
        <v>176</v>
      </c>
      <c r="L19" s="8"/>
      <c r="M19" s="19">
        <f t="shared" si="6"/>
        <v>46.530320547945202</v>
      </c>
      <c r="N19" s="19">
        <f t="shared" si="6"/>
        <v>86.447194520547939</v>
      </c>
      <c r="O19" s="19">
        <f t="shared" si="6"/>
        <v>86.210999999999999</v>
      </c>
      <c r="P19" s="19">
        <f t="shared" si="6"/>
        <v>0</v>
      </c>
      <c r="Q19" s="19">
        <f t="shared" si="6"/>
        <v>0</v>
      </c>
    </row>
    <row r="20" spans="1:17" x14ac:dyDescent="0.35">
      <c r="A20" s="8" t="s">
        <v>180</v>
      </c>
      <c r="B20" s="121">
        <v>46387</v>
      </c>
      <c r="C20" s="123">
        <v>3.1E-2</v>
      </c>
      <c r="D20" s="123">
        <v>3.2000000000000001E-2</v>
      </c>
      <c r="E20" s="123">
        <f t="shared" si="3"/>
        <v>3.15E-2</v>
      </c>
      <c r="F20" s="105">
        <v>2396</v>
      </c>
      <c r="G20" s="124"/>
      <c r="H20" s="124"/>
      <c r="I20" s="105">
        <f t="shared" si="4"/>
        <v>2396</v>
      </c>
      <c r="J20" s="125" t="s">
        <v>176</v>
      </c>
      <c r="L20" s="8"/>
      <c r="M20" s="19">
        <f t="shared" si="6"/>
        <v>40.735282191780826</v>
      </c>
      <c r="N20" s="19">
        <f t="shared" si="6"/>
        <v>75.680778082191779</v>
      </c>
      <c r="O20" s="19">
        <f t="shared" si="6"/>
        <v>75.474000000000004</v>
      </c>
      <c r="P20" s="19">
        <f t="shared" si="6"/>
        <v>75.474000000000004</v>
      </c>
      <c r="Q20" s="19">
        <f t="shared" si="6"/>
        <v>0</v>
      </c>
    </row>
    <row r="21" spans="1:17" x14ac:dyDescent="0.35">
      <c r="A21" s="8" t="s">
        <v>181</v>
      </c>
      <c r="B21" s="121">
        <v>46752</v>
      </c>
      <c r="C21" s="123">
        <v>2.5000000000000001E-2</v>
      </c>
      <c r="D21" s="123">
        <v>2.4E-2</v>
      </c>
      <c r="E21" s="123">
        <f t="shared" si="3"/>
        <v>2.4500000000000001E-2</v>
      </c>
      <c r="F21" s="105">
        <v>2523</v>
      </c>
      <c r="G21" s="124"/>
      <c r="H21" s="124"/>
      <c r="I21" s="105">
        <f t="shared" si="4"/>
        <v>2523</v>
      </c>
      <c r="J21" s="125" t="s">
        <v>176</v>
      </c>
      <c r="L21" s="8"/>
      <c r="M21" s="19">
        <f t="shared" si="6"/>
        <v>33.362354794520549</v>
      </c>
      <c r="N21" s="19">
        <f t="shared" si="6"/>
        <v>61.982852054794527</v>
      </c>
      <c r="O21" s="19">
        <f t="shared" si="6"/>
        <v>61.813500000000005</v>
      </c>
      <c r="P21" s="19">
        <f t="shared" si="6"/>
        <v>61.813500000000005</v>
      </c>
      <c r="Q21" s="19">
        <f t="shared" si="6"/>
        <v>61.813500000000005</v>
      </c>
    </row>
    <row r="22" spans="1:17" x14ac:dyDescent="0.35">
      <c r="A22" s="8" t="s">
        <v>182</v>
      </c>
      <c r="B22" s="121">
        <v>47118</v>
      </c>
      <c r="C22" s="123">
        <v>2.8000000000000001E-2</v>
      </c>
      <c r="D22" s="123">
        <v>2.5999999999999999E-2</v>
      </c>
      <c r="E22" s="123">
        <f t="shared" si="3"/>
        <v>2.7E-2</v>
      </c>
      <c r="F22" s="105">
        <v>24652</v>
      </c>
      <c r="G22" s="124"/>
      <c r="H22" s="124"/>
      <c r="I22" s="105">
        <f t="shared" si="4"/>
        <v>24652</v>
      </c>
      <c r="J22" s="125" t="s">
        <v>176</v>
      </c>
      <c r="L22" s="8"/>
      <c r="M22" s="19">
        <f t="shared" si="6"/>
        <v>359.24380273972605</v>
      </c>
      <c r="N22" s="19">
        <f t="shared" si="6"/>
        <v>667.42757260273982</v>
      </c>
      <c r="O22" s="19">
        <f t="shared" si="6"/>
        <v>665.60400000000004</v>
      </c>
      <c r="P22" s="19">
        <f t="shared" si="6"/>
        <v>665.60400000000004</v>
      </c>
      <c r="Q22" s="19">
        <f t="shared" si="6"/>
        <v>665.60400000000004</v>
      </c>
    </row>
    <row r="23" spans="1:17" x14ac:dyDescent="0.35">
      <c r="A23" s="8" t="s">
        <v>183</v>
      </c>
      <c r="B23" s="121">
        <v>45291</v>
      </c>
      <c r="C23" s="123">
        <v>1.2999999999999999E-2</v>
      </c>
      <c r="D23" s="123">
        <v>1.2999999999999999E-2</v>
      </c>
      <c r="E23" s="123">
        <f t="shared" si="3"/>
        <v>1.2999999999999999E-2</v>
      </c>
      <c r="F23" s="8">
        <v>28</v>
      </c>
      <c r="G23" s="105"/>
      <c r="H23" s="124"/>
      <c r="I23" s="105">
        <f t="shared" si="4"/>
        <v>28</v>
      </c>
      <c r="J23" s="125" t="s">
        <v>176</v>
      </c>
      <c r="L23" s="8"/>
      <c r="M23" s="19">
        <f t="shared" si="6"/>
        <v>0.19646027397260274</v>
      </c>
      <c r="N23" s="19">
        <f t="shared" si="6"/>
        <v>0</v>
      </c>
      <c r="O23" s="19">
        <f t="shared" si="6"/>
        <v>0</v>
      </c>
      <c r="P23" s="19">
        <f t="shared" si="6"/>
        <v>0</v>
      </c>
      <c r="Q23" s="19">
        <f t="shared" si="6"/>
        <v>0</v>
      </c>
    </row>
    <row r="24" spans="1:17" x14ac:dyDescent="0.35">
      <c r="A24" s="8" t="s">
        <v>184</v>
      </c>
      <c r="B24" s="121">
        <v>46054</v>
      </c>
      <c r="C24" s="123">
        <v>4.5499999999999999E-2</v>
      </c>
      <c r="D24" s="123">
        <v>4.5499999999999999E-2</v>
      </c>
      <c r="E24" s="123">
        <f t="shared" si="3"/>
        <v>4.5499999999999999E-2</v>
      </c>
      <c r="F24" s="8"/>
      <c r="G24" s="105">
        <v>350</v>
      </c>
      <c r="H24" s="124"/>
      <c r="I24" s="105">
        <f t="shared" si="4"/>
        <v>350</v>
      </c>
      <c r="J24" s="127" t="s">
        <v>185</v>
      </c>
      <c r="L24" s="8"/>
      <c r="M24" s="19">
        <f t="shared" si="6"/>
        <v>8.5951369863013696</v>
      </c>
      <c r="N24" s="19">
        <f t="shared" si="6"/>
        <v>15.968630136986299</v>
      </c>
      <c r="O24" s="19">
        <f t="shared" si="6"/>
        <v>15.925000000000001</v>
      </c>
      <c r="P24" s="19">
        <f t="shared" si="6"/>
        <v>1.3961643835616437</v>
      </c>
      <c r="Q24" s="19">
        <f t="shared" si="6"/>
        <v>0</v>
      </c>
    </row>
    <row r="25" spans="1:17" x14ac:dyDescent="0.35">
      <c r="A25" s="8" t="s">
        <v>184</v>
      </c>
      <c r="B25" s="121">
        <v>46054</v>
      </c>
      <c r="C25" s="123">
        <v>4.5499999999999999E-2</v>
      </c>
      <c r="D25" s="123">
        <v>4.5499999999999999E-2</v>
      </c>
      <c r="E25" s="123">
        <f t="shared" si="3"/>
        <v>4.5499999999999999E-2</v>
      </c>
      <c r="F25" s="8"/>
      <c r="G25" s="105">
        <v>500</v>
      </c>
      <c r="H25" s="124"/>
      <c r="I25" s="105">
        <f t="shared" si="4"/>
        <v>500</v>
      </c>
      <c r="J25" s="127" t="s">
        <v>185</v>
      </c>
      <c r="L25" s="8"/>
      <c r="M25" s="19">
        <f t="shared" si="6"/>
        <v>12.278767123287672</v>
      </c>
      <c r="N25" s="19">
        <f t="shared" si="6"/>
        <v>22.812328767123287</v>
      </c>
      <c r="O25" s="19">
        <f t="shared" si="6"/>
        <v>22.75</v>
      </c>
      <c r="P25" s="19">
        <f t="shared" si="6"/>
        <v>1.9945205479452055</v>
      </c>
      <c r="Q25" s="19">
        <f t="shared" si="6"/>
        <v>0</v>
      </c>
    </row>
    <row r="26" spans="1:17" x14ac:dyDescent="0.35">
      <c r="A26" s="8" t="s">
        <v>186</v>
      </c>
      <c r="B26" s="121">
        <v>46874</v>
      </c>
      <c r="C26" s="123">
        <v>4.4499999999999998E-2</v>
      </c>
      <c r="D26" s="123">
        <v>4.4499999999999998E-2</v>
      </c>
      <c r="E26" s="123">
        <f t="shared" si="3"/>
        <v>4.4499999999999998E-2</v>
      </c>
      <c r="F26" s="8"/>
      <c r="G26" s="105">
        <v>650</v>
      </c>
      <c r="H26" s="124"/>
      <c r="I26" s="105">
        <f t="shared" si="4"/>
        <v>650</v>
      </c>
      <c r="J26" s="127" t="s">
        <v>185</v>
      </c>
      <c r="L26" s="8"/>
      <c r="M26" s="19">
        <f t="shared" si="6"/>
        <v>15.611575342465752</v>
      </c>
      <c r="N26" s="19">
        <f t="shared" si="6"/>
        <v>29.004246575342464</v>
      </c>
      <c r="O26" s="19">
        <f t="shared" si="6"/>
        <v>28.924999999999994</v>
      </c>
      <c r="P26" s="19">
        <f t="shared" si="6"/>
        <v>28.924999999999994</v>
      </c>
      <c r="Q26" s="19">
        <f t="shared" si="6"/>
        <v>28.924999999999994</v>
      </c>
    </row>
    <row r="27" spans="1:17" x14ac:dyDescent="0.35">
      <c r="A27" s="8" t="s">
        <v>187</v>
      </c>
      <c r="B27" s="121">
        <v>48611</v>
      </c>
      <c r="C27" s="123">
        <v>4.4499999999999998E-2</v>
      </c>
      <c r="D27" s="123">
        <v>4.4499999999999998E-2</v>
      </c>
      <c r="E27" s="123">
        <f t="shared" si="3"/>
        <v>4.4499999999999998E-2</v>
      </c>
      <c r="F27" s="8"/>
      <c r="G27" s="105">
        <v>1000</v>
      </c>
      <c r="H27" s="124"/>
      <c r="I27" s="105">
        <f t="shared" si="4"/>
        <v>1000</v>
      </c>
      <c r="J27" s="127" t="s">
        <v>185</v>
      </c>
      <c r="L27" s="8"/>
      <c r="M27" s="19">
        <f t="shared" si="6"/>
        <v>24.017808219178082</v>
      </c>
      <c r="N27" s="19">
        <f t="shared" si="6"/>
        <v>44.62191780821918</v>
      </c>
      <c r="O27" s="19">
        <f t="shared" si="6"/>
        <v>44.5</v>
      </c>
      <c r="P27" s="19">
        <f t="shared" si="6"/>
        <v>44.5</v>
      </c>
      <c r="Q27" s="19">
        <f t="shared" si="6"/>
        <v>44.5</v>
      </c>
    </row>
    <row r="28" spans="1:17" x14ac:dyDescent="0.35">
      <c r="A28" s="8" t="s">
        <v>188</v>
      </c>
      <c r="B28" s="121">
        <v>55916</v>
      </c>
      <c r="C28" s="123">
        <v>4.65E-2</v>
      </c>
      <c r="D28" s="123">
        <v>4.65E-2</v>
      </c>
      <c r="E28" s="123">
        <f t="shared" si="3"/>
        <v>4.65E-2</v>
      </c>
      <c r="F28" s="8"/>
      <c r="G28" s="105">
        <v>500</v>
      </c>
      <c r="H28" s="124"/>
      <c r="I28" s="105">
        <f t="shared" si="4"/>
        <v>500</v>
      </c>
      <c r="J28" s="127" t="s">
        <v>185</v>
      </c>
      <c r="L28" s="8"/>
      <c r="M28" s="19">
        <f t="shared" si="6"/>
        <v>12.548630136986301</v>
      </c>
      <c r="N28" s="19">
        <f t="shared" si="6"/>
        <v>23.313698630136987</v>
      </c>
      <c r="O28" s="19">
        <f t="shared" si="6"/>
        <v>23.25</v>
      </c>
      <c r="P28" s="19">
        <f t="shared" si="6"/>
        <v>23.25</v>
      </c>
      <c r="Q28" s="19">
        <f t="shared" si="6"/>
        <v>23.25</v>
      </c>
    </row>
    <row r="29" spans="1:17" ht="15" thickBot="1" x14ac:dyDescent="0.4">
      <c r="A29" s="8"/>
      <c r="B29" s="8"/>
      <c r="C29" s="8"/>
      <c r="D29" s="8"/>
      <c r="E29" s="8"/>
      <c r="F29" s="8"/>
      <c r="G29" s="124"/>
      <c r="H29" s="124"/>
      <c r="I29" s="8"/>
      <c r="L29" s="8"/>
      <c r="M29" s="128">
        <f>SUM(M16:M28)</f>
        <v>593.2457999999998</v>
      </c>
      <c r="N29" s="128">
        <f t="shared" ref="N29:Q29" si="7">SUM(N16:N28)</f>
        <v>1089.0685972602741</v>
      </c>
      <c r="O29" s="128">
        <f t="shared" si="7"/>
        <v>1024.4524999999999</v>
      </c>
      <c r="P29" s="128">
        <f t="shared" si="7"/>
        <v>902.95718493150684</v>
      </c>
      <c r="Q29" s="128">
        <f t="shared" si="7"/>
        <v>824.09249999999997</v>
      </c>
    </row>
    <row r="30" spans="1:17" ht="15.5" thickTop="1" thickBot="1" x14ac:dyDescent="0.4">
      <c r="A30" s="102" t="s">
        <v>189</v>
      </c>
      <c r="B30" s="8"/>
      <c r="C30" s="8"/>
      <c r="D30" s="8"/>
      <c r="E30" s="123">
        <f>AVERAGE(E16:E28)</f>
        <v>3.1615384615384608E-2</v>
      </c>
      <c r="F30" s="128">
        <f>SUM(F16:F29)</f>
        <v>38753</v>
      </c>
      <c r="G30" s="129">
        <f>SUM(G16:G29)</f>
        <v>3000</v>
      </c>
      <c r="H30" s="129">
        <f>SUM(H16:H29)</f>
        <v>2300</v>
      </c>
      <c r="I30" s="128">
        <f>SUM(I16:I29)</f>
        <v>39453</v>
      </c>
      <c r="L30" s="8"/>
      <c r="M30" s="8"/>
      <c r="N30" s="129"/>
      <c r="O30" s="129"/>
      <c r="P30" s="129"/>
      <c r="Q30" s="129"/>
    </row>
    <row r="31" spans="1:17" ht="15" thickTop="1" x14ac:dyDescent="0.35">
      <c r="A31" s="102"/>
      <c r="B31" s="8"/>
      <c r="C31" s="8"/>
      <c r="D31" s="8"/>
      <c r="E31" s="130"/>
      <c r="F31" s="129"/>
      <c r="G31" s="129"/>
      <c r="H31" s="129"/>
      <c r="I31" s="129"/>
      <c r="L31" s="8"/>
    </row>
    <row r="32" spans="1:17" x14ac:dyDescent="0.35">
      <c r="A32" s="102" t="s">
        <v>190</v>
      </c>
      <c r="B32" s="8"/>
      <c r="C32" s="8"/>
      <c r="D32" s="8"/>
      <c r="E32" s="8"/>
      <c r="F32" s="105">
        <f>'PepsiCo-BS'!E23+'PepsiCo-BS'!E28</f>
        <v>39071</v>
      </c>
      <c r="G32" s="105"/>
      <c r="H32" s="105"/>
      <c r="I32" s="105">
        <f>'PepsiCo-BS'!F28+'PepsiCo-BS'!F23</f>
        <v>43621</v>
      </c>
      <c r="L32" s="8"/>
    </row>
    <row r="33" spans="1:12" x14ac:dyDescent="0.35">
      <c r="A33" s="8"/>
      <c r="B33" s="8"/>
      <c r="C33" s="8"/>
      <c r="D33" s="8"/>
      <c r="E33" s="8"/>
      <c r="F33" s="8"/>
      <c r="G33" s="8"/>
      <c r="H33" s="8"/>
      <c r="I33" s="124"/>
      <c r="L33" s="8"/>
    </row>
    <row r="34" spans="1:12" ht="15" thickBot="1" x14ac:dyDescent="0.4">
      <c r="A34" s="102" t="s">
        <v>191</v>
      </c>
      <c r="B34" s="8"/>
      <c r="C34" s="8"/>
      <c r="D34" s="8"/>
      <c r="E34" s="8"/>
      <c r="F34" s="128">
        <f>F32-F30</f>
        <v>318</v>
      </c>
      <c r="G34" s="8"/>
      <c r="H34" s="102"/>
      <c r="I34" s="128">
        <f>I32-I30</f>
        <v>4168</v>
      </c>
      <c r="L34" s="8"/>
    </row>
    <row r="35" spans="1:12" ht="15" thickTop="1" x14ac:dyDescent="0.35">
      <c r="A35" s="8"/>
      <c r="B35" s="8"/>
      <c r="C35" s="8"/>
      <c r="D35" s="8"/>
      <c r="E35" s="8"/>
      <c r="F35" s="8"/>
      <c r="G35" s="8"/>
      <c r="H35" s="8"/>
      <c r="I35" s="124"/>
      <c r="L35" s="8"/>
    </row>
    <row r="37" spans="1:12" x14ac:dyDescent="0.35">
      <c r="A37" s="115" t="s">
        <v>192</v>
      </c>
      <c r="B37" s="8"/>
      <c r="C37" s="8"/>
      <c r="D37" s="8"/>
      <c r="E37" s="8"/>
      <c r="F37" s="8"/>
      <c r="G37" s="8"/>
    </row>
    <row r="38" spans="1:12" x14ac:dyDescent="0.35">
      <c r="A38" s="102"/>
      <c r="B38" s="13">
        <v>6</v>
      </c>
      <c r="C38" s="13">
        <v>12</v>
      </c>
      <c r="D38" s="13">
        <v>12</v>
      </c>
      <c r="E38" s="13">
        <v>12</v>
      </c>
      <c r="F38" s="13">
        <v>12</v>
      </c>
      <c r="G38" s="8"/>
    </row>
    <row r="39" spans="1:12" x14ac:dyDescent="0.35">
      <c r="A39" s="102"/>
      <c r="B39" s="15" t="s">
        <v>21</v>
      </c>
      <c r="C39" s="15" t="s">
        <v>22</v>
      </c>
      <c r="D39" s="15" t="s">
        <v>23</v>
      </c>
      <c r="E39" s="15" t="s">
        <v>24</v>
      </c>
      <c r="F39" s="15" t="s">
        <v>25</v>
      </c>
      <c r="G39" s="8"/>
    </row>
    <row r="40" spans="1:12" x14ac:dyDescent="0.35">
      <c r="A40" s="8" t="s">
        <v>193</v>
      </c>
      <c r="B40" s="105">
        <f>I34</f>
        <v>4168</v>
      </c>
      <c r="C40" s="105">
        <f ca="1">B43</f>
        <v>0</v>
      </c>
      <c r="D40" s="105">
        <f t="shared" ref="D40:F40" ca="1" si="8">C43</f>
        <v>0</v>
      </c>
      <c r="E40" s="105">
        <f t="shared" ca="1" si="8"/>
        <v>0</v>
      </c>
      <c r="F40" s="105">
        <f t="shared" ca="1" si="8"/>
        <v>0</v>
      </c>
      <c r="G40" s="8"/>
    </row>
    <row r="41" spans="1:12" x14ac:dyDescent="0.35">
      <c r="A41" s="8" t="s">
        <v>194</v>
      </c>
      <c r="B41" s="105">
        <f ca="1">IF(B10&lt;0,-B10,0)</f>
        <v>0</v>
      </c>
      <c r="C41" s="105">
        <f t="shared" ref="C41:F41" ca="1" si="9">IF(C10&lt;0,-C10,0)</f>
        <v>0</v>
      </c>
      <c r="D41" s="105">
        <f t="shared" ca="1" si="9"/>
        <v>0</v>
      </c>
      <c r="E41" s="105">
        <f t="shared" ca="1" si="9"/>
        <v>0</v>
      </c>
      <c r="F41" s="105">
        <f t="shared" ca="1" si="9"/>
        <v>0</v>
      </c>
      <c r="G41" s="8"/>
    </row>
    <row r="42" spans="1:12" x14ac:dyDescent="0.35">
      <c r="A42" s="8" t="s">
        <v>195</v>
      </c>
      <c r="B42" s="105">
        <f ca="1">-MIN(B40,B10)</f>
        <v>-4168</v>
      </c>
      <c r="C42" s="105">
        <f t="shared" ref="C42:F42" ca="1" si="10">-MIN(C40,C10)</f>
        <v>0</v>
      </c>
      <c r="D42" s="105">
        <f t="shared" ca="1" si="10"/>
        <v>0</v>
      </c>
      <c r="E42" s="105">
        <f t="shared" ca="1" si="10"/>
        <v>0</v>
      </c>
      <c r="F42" s="105">
        <f t="shared" ca="1" si="10"/>
        <v>0</v>
      </c>
      <c r="G42" s="8"/>
    </row>
    <row r="43" spans="1:12" ht="15" thickBot="1" x14ac:dyDescent="0.4">
      <c r="A43" s="8" t="s">
        <v>196</v>
      </c>
      <c r="B43" s="128">
        <f ca="1">SUM(B40:B42)</f>
        <v>0</v>
      </c>
      <c r="C43" s="128">
        <f t="shared" ref="C43:F43" ca="1" si="11">SUM(C40:C42)</f>
        <v>0</v>
      </c>
      <c r="D43" s="128">
        <f t="shared" ca="1" si="11"/>
        <v>0</v>
      </c>
      <c r="E43" s="128">
        <f t="shared" ca="1" si="11"/>
        <v>0</v>
      </c>
      <c r="F43" s="128">
        <f t="shared" ca="1" si="11"/>
        <v>0</v>
      </c>
      <c r="G43" s="8"/>
    </row>
    <row r="44" spans="1:12" ht="15" thickTop="1" x14ac:dyDescent="0.35">
      <c r="A44" s="8"/>
      <c r="B44" s="8"/>
      <c r="C44" s="8"/>
      <c r="D44" s="8"/>
      <c r="E44" s="8"/>
      <c r="F44" s="8"/>
      <c r="G44" s="8"/>
    </row>
    <row r="45" spans="1:12" x14ac:dyDescent="0.35">
      <c r="A45" s="8" t="s">
        <v>171</v>
      </c>
      <c r="B45" s="131">
        <f>E30</f>
        <v>3.1615384615384608E-2</v>
      </c>
      <c r="C45" s="8"/>
      <c r="D45" s="8"/>
      <c r="E45" s="8"/>
      <c r="F45" s="8"/>
      <c r="G45" s="8"/>
    </row>
    <row r="46" spans="1:12" x14ac:dyDescent="0.35">
      <c r="A46" s="8"/>
      <c r="B46" s="8"/>
      <c r="C46" s="8"/>
      <c r="D46" s="8"/>
      <c r="E46" s="8"/>
      <c r="F46" s="8"/>
      <c r="G46" s="8"/>
    </row>
    <row r="47" spans="1:12" x14ac:dyDescent="0.35">
      <c r="A47" s="8" t="s">
        <v>166</v>
      </c>
      <c r="B47" s="126">
        <f ca="1">AVERAGE(B43,B40)*$B$45*B38/12</f>
        <v>32.943230769230759</v>
      </c>
      <c r="C47" s="126">
        <f t="shared" ref="C47:F47" ca="1" si="12">AVERAGE(C43,C40)*$B$45*C38/12</f>
        <v>0</v>
      </c>
      <c r="D47" s="126">
        <f t="shared" ca="1" si="12"/>
        <v>0</v>
      </c>
      <c r="E47" s="126">
        <f t="shared" ca="1" si="12"/>
        <v>0</v>
      </c>
      <c r="F47" s="126">
        <f t="shared" ca="1" si="12"/>
        <v>0</v>
      </c>
      <c r="G47" s="8"/>
    </row>
    <row r="48" spans="1:12" x14ac:dyDescent="0.35">
      <c r="A48" s="8"/>
      <c r="B48" s="8"/>
      <c r="C48" s="8"/>
      <c r="D48" s="8"/>
      <c r="E48" s="8"/>
      <c r="F48" s="8"/>
      <c r="G48" s="8"/>
    </row>
    <row r="49" spans="1:7" x14ac:dyDescent="0.35">
      <c r="A49" s="8" t="s">
        <v>197</v>
      </c>
      <c r="B49" s="105">
        <f ca="1">B41+B42+B9+'PepsiCo-BS'!F23+'PepsiCo-BS'!F28</f>
        <v>38631</v>
      </c>
      <c r="C49" s="105">
        <f ca="1">C41+C42+C9+'PepsiCo-BS'!G23+'PepsiCo-BS'!G28</f>
        <v>35764</v>
      </c>
      <c r="D49" s="105">
        <f ca="1">D41+D42+D9+'PepsiCo-BS'!H23+'PepsiCo-BS'!H28</f>
        <v>32571</v>
      </c>
      <c r="E49" s="105">
        <f ca="1">E41+E42+E9+'PepsiCo-BS'!I23+'PepsiCo-BS'!I28</f>
        <v>29325</v>
      </c>
      <c r="F49" s="105">
        <f ca="1">F41+F42+F9+'PepsiCo-BS'!J23+'PepsiCo-BS'!J28</f>
        <v>26802</v>
      </c>
    </row>
    <row r="50" spans="1:7" x14ac:dyDescent="0.35">
      <c r="A50" s="8" t="s">
        <v>198</v>
      </c>
      <c r="B50" s="105">
        <f ca="1">-C9+B43</f>
        <v>2867</v>
      </c>
      <c r="C50" s="105">
        <f t="shared" ref="C50:F50" ca="1" si="13">-D9+C43</f>
        <v>3193</v>
      </c>
      <c r="D50" s="105">
        <f t="shared" ca="1" si="13"/>
        <v>3246</v>
      </c>
      <c r="E50" s="105">
        <f t="shared" ca="1" si="13"/>
        <v>2523</v>
      </c>
      <c r="F50" s="105">
        <f t="shared" ca="1" si="13"/>
        <v>25302</v>
      </c>
    </row>
    <row r="51" spans="1:7" x14ac:dyDescent="0.35">
      <c r="A51" s="8" t="s">
        <v>199</v>
      </c>
      <c r="B51" s="105">
        <f ca="1">B49-B50</f>
        <v>35764</v>
      </c>
      <c r="C51" s="105">
        <f t="shared" ref="C51:F51" ca="1" si="14">C49-C50</f>
        <v>32571</v>
      </c>
      <c r="D51" s="105">
        <f t="shared" ca="1" si="14"/>
        <v>29325</v>
      </c>
      <c r="E51" s="105">
        <f t="shared" ca="1" si="14"/>
        <v>26802</v>
      </c>
      <c r="F51" s="105">
        <f t="shared" ca="1" si="14"/>
        <v>1500</v>
      </c>
    </row>
    <row r="52" spans="1:7" x14ac:dyDescent="0.35">
      <c r="A52" s="8"/>
      <c r="B52" s="8"/>
      <c r="C52" s="8"/>
      <c r="D52" s="8"/>
      <c r="E52" s="8"/>
      <c r="F52" s="8"/>
      <c r="G52" s="8"/>
    </row>
  </sheetData>
  <mergeCells count="5">
    <mergeCell ref="M13:Q13"/>
    <mergeCell ref="F14:F15"/>
    <mergeCell ref="G14:H14"/>
    <mergeCell ref="I14:I15"/>
    <mergeCell ref="C15:D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4891-7A6A-4C60-8E35-114EC8AE00D7}">
  <dimension ref="A1:O78"/>
  <sheetViews>
    <sheetView showGridLines="0" zoomScale="61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63" sqref="M63"/>
    </sheetView>
  </sheetViews>
  <sheetFormatPr defaultRowHeight="14.5" x14ac:dyDescent="0.35"/>
  <cols>
    <col min="1" max="1" width="61.08984375" bestFit="1" customWidth="1"/>
    <col min="2" max="5" width="12.08984375" bestFit="1" customWidth="1"/>
    <col min="6" max="6" width="11.90625" bestFit="1" customWidth="1"/>
    <col min="7" max="12" width="12.08984375" bestFit="1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x14ac:dyDescent="0.35">
      <c r="A3" s="1" t="s">
        <v>30</v>
      </c>
      <c r="B3" s="12" t="s">
        <v>15</v>
      </c>
      <c r="C3" s="12" t="s">
        <v>15</v>
      </c>
      <c r="D3" s="12" t="s">
        <v>15</v>
      </c>
      <c r="E3" s="12" t="s">
        <v>15</v>
      </c>
      <c r="F3" s="12" t="s">
        <v>16</v>
      </c>
      <c r="G3" s="13" t="s">
        <v>16</v>
      </c>
      <c r="H3" s="13" t="s">
        <v>15</v>
      </c>
      <c r="I3" s="13" t="s">
        <v>15</v>
      </c>
      <c r="J3" s="13" t="s">
        <v>15</v>
      </c>
      <c r="K3" s="13" t="s">
        <v>15</v>
      </c>
      <c r="L3" s="13" t="s">
        <v>15</v>
      </c>
    </row>
    <row r="4" spans="1:12" ht="15" thickBot="1" x14ac:dyDescent="0.4">
      <c r="A4" s="4"/>
      <c r="B4" s="14" t="s">
        <v>17</v>
      </c>
      <c r="C4" s="14" t="s">
        <v>18</v>
      </c>
      <c r="D4" s="14" t="s">
        <v>19</v>
      </c>
      <c r="E4" s="14" t="s">
        <v>20</v>
      </c>
      <c r="F4" s="14" t="s">
        <v>136</v>
      </c>
      <c r="G4" s="15" t="s">
        <v>21</v>
      </c>
      <c r="H4" s="15" t="s">
        <v>21</v>
      </c>
      <c r="I4" s="15" t="s">
        <v>22</v>
      </c>
      <c r="J4" s="15" t="s">
        <v>23</v>
      </c>
      <c r="K4" s="15" t="s">
        <v>24</v>
      </c>
      <c r="L4" s="15" t="s">
        <v>25</v>
      </c>
    </row>
    <row r="5" spans="1:12" x14ac:dyDescent="0.35">
      <c r="A5" s="32" t="s">
        <v>31</v>
      </c>
      <c r="B5" s="19"/>
      <c r="C5" s="19"/>
      <c r="D5" s="19"/>
      <c r="E5" s="19"/>
      <c r="F5" s="19"/>
      <c r="G5" s="26"/>
      <c r="H5" s="90"/>
      <c r="I5" s="26"/>
      <c r="J5" s="26"/>
      <c r="K5" s="26"/>
      <c r="L5" s="26"/>
    </row>
    <row r="6" spans="1:12" s="11" customFormat="1" x14ac:dyDescent="0.35">
      <c r="A6" s="32" t="s">
        <v>32</v>
      </c>
      <c r="B6" s="23">
        <v>67161</v>
      </c>
      <c r="C6" s="23">
        <v>70372</v>
      </c>
      <c r="D6" s="23">
        <v>79474</v>
      </c>
      <c r="E6" s="23">
        <v>86392</v>
      </c>
      <c r="F6" s="23">
        <v>40168</v>
      </c>
      <c r="G6" s="43">
        <f>'Revenue Segment'!K34</f>
        <v>56835.130000000005</v>
      </c>
      <c r="H6" s="91">
        <f>F6+G6</f>
        <v>97003.13</v>
      </c>
      <c r="I6" s="43">
        <f>'Revenue Segment'!N34</f>
        <v>105090.09496249999</v>
      </c>
      <c r="J6" s="43">
        <f>'Revenue Segment'!O34</f>
        <v>113877.34296526562</v>
      </c>
      <c r="K6" s="43">
        <f>'Revenue Segment'!P34</f>
        <v>123427.81003969478</v>
      </c>
      <c r="L6" s="43">
        <f>'Revenue Segment'!Q34</f>
        <v>133810.29051831921</v>
      </c>
    </row>
    <row r="7" spans="1:12" s="41" customFormat="1" x14ac:dyDescent="0.35">
      <c r="A7" s="33" t="s">
        <v>33</v>
      </c>
      <c r="B7" s="75">
        <v>30132</v>
      </c>
      <c r="C7" s="75">
        <v>31797</v>
      </c>
      <c r="D7" s="75">
        <v>37075</v>
      </c>
      <c r="E7" s="75">
        <v>40576</v>
      </c>
      <c r="F7" s="75">
        <v>18109</v>
      </c>
      <c r="G7" s="42"/>
      <c r="H7" s="92"/>
      <c r="I7" s="42"/>
      <c r="J7" s="42"/>
      <c r="K7" s="42"/>
      <c r="L7" s="42"/>
    </row>
    <row r="8" spans="1:12" s="41" customFormat="1" x14ac:dyDescent="0.35">
      <c r="A8" s="33" t="s">
        <v>34</v>
      </c>
      <c r="B8" s="77">
        <v>-92</v>
      </c>
      <c r="C8" s="77">
        <v>2</v>
      </c>
      <c r="D8" s="77">
        <v>-69</v>
      </c>
      <c r="E8" s="77">
        <v>-286</v>
      </c>
      <c r="F8" s="77">
        <v>-14</v>
      </c>
      <c r="G8" s="69"/>
      <c r="H8" s="93"/>
      <c r="I8" s="69"/>
      <c r="J8" s="69"/>
      <c r="K8" s="69"/>
      <c r="L8" s="69"/>
    </row>
    <row r="9" spans="1:12" x14ac:dyDescent="0.35">
      <c r="A9" s="34" t="s">
        <v>35</v>
      </c>
      <c r="B9" s="21">
        <f>B7+B8</f>
        <v>30040</v>
      </c>
      <c r="C9" s="21">
        <f>C7+C8</f>
        <v>31799</v>
      </c>
      <c r="D9" s="21">
        <f>D7+D8</f>
        <v>37006</v>
      </c>
      <c r="E9" s="21">
        <f>E7+E8</f>
        <v>40290</v>
      </c>
      <c r="F9" s="21">
        <f>F7+F8</f>
        <v>18095</v>
      </c>
      <c r="G9" s="24">
        <f>G10+G11</f>
        <v>25496.014608683705</v>
      </c>
      <c r="H9" s="94">
        <f>F9+G9</f>
        <v>43591.014608683705</v>
      </c>
      <c r="I9" s="24">
        <f t="shared" ref="I9:L9" si="0">I10+I11</f>
        <v>48106.080937679864</v>
      </c>
      <c r="J9" s="24">
        <f t="shared" si="0"/>
        <v>52128.534850119016</v>
      </c>
      <c r="K9" s="24">
        <f t="shared" si="0"/>
        <v>56500.360208532475</v>
      </c>
      <c r="L9" s="24">
        <f t="shared" si="0"/>
        <v>61253.048332154525</v>
      </c>
    </row>
    <row r="10" spans="1:12" x14ac:dyDescent="0.35">
      <c r="A10" s="35" t="s">
        <v>36</v>
      </c>
      <c r="B10" s="21">
        <f>B9-B11</f>
        <v>27844</v>
      </c>
      <c r="C10" s="21">
        <f t="shared" ref="C10:F10" si="1">C9-C11</f>
        <v>29468</v>
      </c>
      <c r="D10" s="21">
        <f t="shared" si="1"/>
        <v>34510</v>
      </c>
      <c r="E10" s="21">
        <f>E9-E11</f>
        <v>37726</v>
      </c>
      <c r="F10" s="21">
        <f t="shared" si="1"/>
        <v>16932.622580973264</v>
      </c>
      <c r="G10" s="24">
        <f>G6*G54</f>
        <v>23958.56915033238</v>
      </c>
      <c r="H10" s="94">
        <f>F10+G10</f>
        <v>40891.191731305647</v>
      </c>
      <c r="I10" s="24">
        <f t="shared" ref="I10:L10" si="2">I6*I54</f>
        <v>44774.842260787584</v>
      </c>
      <c r="J10" s="24">
        <f>J6*J54</f>
        <v>48518.750222528877</v>
      </c>
      <c r="K10" s="24">
        <f t="shared" si="2"/>
        <v>52587.836437809223</v>
      </c>
      <c r="L10" s="24">
        <f t="shared" si="2"/>
        <v>57011.411522330738</v>
      </c>
    </row>
    <row r="11" spans="1:12" x14ac:dyDescent="0.35">
      <c r="A11" s="35" t="s">
        <v>37</v>
      </c>
      <c r="B11" s="21">
        <v>2196</v>
      </c>
      <c r="C11" s="21">
        <v>2331</v>
      </c>
      <c r="D11" s="21">
        <v>2496</v>
      </c>
      <c r="E11" s="21">
        <v>2564</v>
      </c>
      <c r="F11" s="21">
        <f>1268*F76</f>
        <v>1162.3774190267345</v>
      </c>
      <c r="G11" s="24">
        <f>'Fixed Assets Schedule'!H18</f>
        <v>1537.445458351325</v>
      </c>
      <c r="H11" s="94">
        <f>F11+G11</f>
        <v>2699.8228773780593</v>
      </c>
      <c r="I11" s="24">
        <f>'Fixed Assets Schedule'!I18</f>
        <v>3331.2386768922829</v>
      </c>
      <c r="J11" s="24">
        <f>'Fixed Assets Schedule'!J18</f>
        <v>3609.784627590137</v>
      </c>
      <c r="K11" s="24">
        <f>'Fixed Assets Schedule'!K18</f>
        <v>3912.52377072325</v>
      </c>
      <c r="L11" s="24">
        <f>'Fixed Assets Schedule'!L18</f>
        <v>4241.6368098237899</v>
      </c>
    </row>
    <row r="12" spans="1:12" x14ac:dyDescent="0.35">
      <c r="A12" s="35"/>
      <c r="B12" s="21"/>
      <c r="C12" s="21"/>
      <c r="D12" s="21"/>
      <c r="E12" s="21"/>
      <c r="F12" s="21"/>
      <c r="G12" s="24"/>
      <c r="H12" s="94"/>
      <c r="I12" s="24"/>
      <c r="J12" s="24"/>
      <c r="K12" s="24"/>
      <c r="L12" s="24"/>
    </row>
    <row r="13" spans="1:12" s="11" customFormat="1" x14ac:dyDescent="0.35">
      <c r="A13" s="32" t="s">
        <v>38</v>
      </c>
      <c r="B13" s="76">
        <f t="shared" ref="B13:G13" si="3">B6-B9</f>
        <v>37121</v>
      </c>
      <c r="C13" s="76">
        <f t="shared" si="3"/>
        <v>38573</v>
      </c>
      <c r="D13" s="76">
        <f t="shared" si="3"/>
        <v>42468</v>
      </c>
      <c r="E13" s="76">
        <f t="shared" si="3"/>
        <v>46102</v>
      </c>
      <c r="F13" s="76">
        <f t="shared" si="3"/>
        <v>22073</v>
      </c>
      <c r="G13" s="70">
        <f t="shared" si="3"/>
        <v>31339.1153913163</v>
      </c>
      <c r="H13" s="95">
        <f>F13+G13</f>
        <v>53412.1153913163</v>
      </c>
      <c r="I13" s="70">
        <f t="shared" ref="I13:L13" si="4">I6-I9</f>
        <v>56984.014024820128</v>
      </c>
      <c r="J13" s="70">
        <f t="shared" si="4"/>
        <v>61748.808115146603</v>
      </c>
      <c r="K13" s="70">
        <f t="shared" si="4"/>
        <v>66927.449831162317</v>
      </c>
      <c r="L13" s="70">
        <f t="shared" si="4"/>
        <v>72557.242186164687</v>
      </c>
    </row>
    <row r="14" spans="1:12" x14ac:dyDescent="0.35">
      <c r="A14" s="35"/>
      <c r="B14" s="21"/>
      <c r="C14" s="21"/>
      <c r="D14" s="21"/>
      <c r="E14" s="21"/>
      <c r="F14" s="21"/>
      <c r="G14" s="24"/>
      <c r="H14" s="94"/>
      <c r="I14" s="24"/>
      <c r="J14" s="24"/>
      <c r="K14" s="24"/>
      <c r="L14" s="24"/>
    </row>
    <row r="15" spans="1:12" s="41" customFormat="1" x14ac:dyDescent="0.35">
      <c r="A15" s="33" t="s">
        <v>39</v>
      </c>
      <c r="B15" s="75">
        <v>26738</v>
      </c>
      <c r="C15" s="75">
        <v>28495</v>
      </c>
      <c r="D15" s="75">
        <v>31237</v>
      </c>
      <c r="E15" s="75">
        <v>34459</v>
      </c>
      <c r="F15" s="75">
        <v>15771</v>
      </c>
      <c r="G15" s="69"/>
      <c r="H15" s="93"/>
      <c r="I15" s="69"/>
      <c r="J15" s="69"/>
      <c r="K15" s="69"/>
      <c r="L15" s="69"/>
    </row>
    <row r="16" spans="1:12" s="41" customFormat="1" x14ac:dyDescent="0.35">
      <c r="A16" s="33" t="s">
        <v>34</v>
      </c>
      <c r="B16" s="77">
        <v>-219</v>
      </c>
      <c r="C16" s="77">
        <v>-453</v>
      </c>
      <c r="D16" s="77">
        <v>-183</v>
      </c>
      <c r="E16" s="77">
        <v>-682</v>
      </c>
      <c r="F16" s="77">
        <v>-359</v>
      </c>
      <c r="G16" s="69"/>
      <c r="H16" s="93"/>
      <c r="I16" s="69"/>
      <c r="J16" s="69"/>
      <c r="K16" s="69"/>
      <c r="L16" s="69"/>
    </row>
    <row r="17" spans="1:12" x14ac:dyDescent="0.35">
      <c r="A17" s="34" t="s">
        <v>40</v>
      </c>
      <c r="B17" s="21">
        <f>B15+B16</f>
        <v>26519</v>
      </c>
      <c r="C17" s="21">
        <f>C15+C16</f>
        <v>28042</v>
      </c>
      <c r="D17" s="21">
        <f>D15+D16</f>
        <v>31054</v>
      </c>
      <c r="E17" s="21">
        <f>E15+E16</f>
        <v>33777</v>
      </c>
      <c r="F17" s="21">
        <f>F15+F16</f>
        <v>15412</v>
      </c>
      <c r="G17" s="24">
        <f>SUM(G18:G20)</f>
        <v>21775.999629350543</v>
      </c>
      <c r="H17" s="94">
        <f>F17+G17</f>
        <v>37187.999629350539</v>
      </c>
      <c r="I17" s="24">
        <f t="shared" ref="I17:L17" si="5">SUM(I18:I20)</f>
        <v>41325.421820494565</v>
      </c>
      <c r="J17" s="24">
        <f t="shared" si="5"/>
        <v>44771.930477570495</v>
      </c>
      <c r="K17" s="24">
        <f t="shared" si="5"/>
        <v>48518.285095986183</v>
      </c>
      <c r="L17" s="24">
        <f t="shared" si="5"/>
        <v>52591.485229437632</v>
      </c>
    </row>
    <row r="18" spans="1:12" x14ac:dyDescent="0.35">
      <c r="A18" s="36" t="s">
        <v>41</v>
      </c>
      <c r="B18" s="21">
        <f>B17-B19-B20</f>
        <v>26283</v>
      </c>
      <c r="C18" s="21">
        <f t="shared" ref="C18:F18" si="6">C17-C19-C20</f>
        <v>27825</v>
      </c>
      <c r="D18" s="21">
        <f t="shared" si="6"/>
        <v>30840</v>
      </c>
      <c r="E18" s="21">
        <f>E17-E19-E20</f>
        <v>33578</v>
      </c>
      <c r="F18" s="21">
        <f t="shared" si="6"/>
        <v>15306.377419026734</v>
      </c>
      <c r="G18" s="24">
        <f>G6*G55</f>
        <v>21657.537105144616</v>
      </c>
      <c r="H18" s="94">
        <f>F18+G18</f>
        <v>36963.914524171349</v>
      </c>
      <c r="I18" s="24">
        <f t="shared" ref="I18:L18" si="7">I6*I55</f>
        <v>41076.134911955829</v>
      </c>
      <c r="J18" s="24">
        <f t="shared" si="7"/>
        <v>44510.770541462247</v>
      </c>
      <c r="K18" s="24">
        <f t="shared" si="7"/>
        <v>48243.722482950448</v>
      </c>
      <c r="L18" s="24">
        <f t="shared" si="7"/>
        <v>52301.880095358218</v>
      </c>
    </row>
    <row r="19" spans="1:12" x14ac:dyDescent="0.35">
      <c r="A19" s="36" t="s">
        <v>42</v>
      </c>
      <c r="B19" s="21">
        <v>155</v>
      </c>
      <c r="C19" s="21">
        <v>127</v>
      </c>
      <c r="D19" s="21">
        <v>123</v>
      </c>
      <c r="E19" s="21">
        <v>121</v>
      </c>
      <c r="F19" s="21">
        <f>1268*F77</f>
        <v>64.273968772154646</v>
      </c>
      <c r="G19" s="24">
        <f>'Fixed Assets Schedule'!H19</f>
        <v>85.025592671187496</v>
      </c>
      <c r="H19" s="94">
        <f>F19+G19</f>
        <v>149.29956144334216</v>
      </c>
      <c r="I19" s="24">
        <f>'Fixed Assets Schedule'!I19</f>
        <v>184.22802662260347</v>
      </c>
      <c r="J19" s="24">
        <f>'Fixed Assets Schedule'!J19</f>
        <v>199.63249799139066</v>
      </c>
      <c r="K19" s="24">
        <f>'Fixed Assets Schedule'!K19</f>
        <v>216.37492936015133</v>
      </c>
      <c r="L19" s="24">
        <f>'Fixed Assets Schedule'!L19</f>
        <v>234.57592052594373</v>
      </c>
    </row>
    <row r="20" spans="1:12" x14ac:dyDescent="0.35">
      <c r="A20" s="36" t="s">
        <v>43</v>
      </c>
      <c r="B20" s="21">
        <v>81</v>
      </c>
      <c r="C20" s="21">
        <v>90</v>
      </c>
      <c r="D20" s="21">
        <v>91</v>
      </c>
      <c r="E20" s="21">
        <v>78</v>
      </c>
      <c r="F20" s="21">
        <f>1268*F78</f>
        <v>41.348612201110946</v>
      </c>
      <c r="G20" s="24">
        <f>'Fixed Assets Schedule'!H27</f>
        <v>33.436931534738328</v>
      </c>
      <c r="H20" s="94">
        <f>F20+G20</f>
        <v>74.785543735849274</v>
      </c>
      <c r="I20" s="24">
        <f>'Fixed Assets Schedule'!I27</f>
        <v>65.058881916134482</v>
      </c>
      <c r="J20" s="24">
        <f>'Fixed Assets Schedule'!J27</f>
        <v>61.527438116854597</v>
      </c>
      <c r="K20" s="24">
        <f>'Fixed Assets Schedule'!K27</f>
        <v>58.187683675586548</v>
      </c>
      <c r="L20" s="24">
        <f>'Fixed Assets Schedule'!L27</f>
        <v>55.029213553467073</v>
      </c>
    </row>
    <row r="21" spans="1:12" x14ac:dyDescent="0.35">
      <c r="A21" s="35"/>
      <c r="B21" s="21"/>
      <c r="C21" s="21"/>
      <c r="D21" s="21"/>
      <c r="E21" s="21"/>
      <c r="F21" s="21"/>
      <c r="G21" s="24"/>
      <c r="H21" s="94"/>
      <c r="I21" s="24"/>
      <c r="J21" s="24"/>
      <c r="K21" s="24"/>
      <c r="L21" s="24"/>
    </row>
    <row r="22" spans="1:12" s="11" customFormat="1" x14ac:dyDescent="0.35">
      <c r="A22" s="34" t="s">
        <v>44</v>
      </c>
      <c r="B22" s="76">
        <f>B13-B17</f>
        <v>10602</v>
      </c>
      <c r="C22" s="76">
        <f t="shared" ref="C22:E22" si="8">C13-C17</f>
        <v>10531</v>
      </c>
      <c r="D22" s="76">
        <f t="shared" si="8"/>
        <v>11414</v>
      </c>
      <c r="E22" s="76">
        <f t="shared" si="8"/>
        <v>12325</v>
      </c>
      <c r="F22" s="76">
        <f>F13-F17</f>
        <v>6661</v>
      </c>
      <c r="G22" s="70">
        <f>G13-G17</f>
        <v>9563.115761965757</v>
      </c>
      <c r="H22" s="95">
        <f>F22+G22</f>
        <v>16224.115761965757</v>
      </c>
      <c r="I22" s="70">
        <f t="shared" ref="I22:L22" si="9">I13-I17</f>
        <v>15658.592204325563</v>
      </c>
      <c r="J22" s="70">
        <f t="shared" si="9"/>
        <v>16976.877637576108</v>
      </c>
      <c r="K22" s="70">
        <f t="shared" si="9"/>
        <v>18409.164735176135</v>
      </c>
      <c r="L22" s="70">
        <f t="shared" si="9"/>
        <v>19965.756956727055</v>
      </c>
    </row>
    <row r="23" spans="1:12" x14ac:dyDescent="0.35">
      <c r="A23" s="32"/>
      <c r="B23" s="21"/>
      <c r="C23" s="21"/>
      <c r="D23" s="21"/>
      <c r="E23" s="21"/>
      <c r="F23" s="21"/>
      <c r="G23" s="24"/>
      <c r="H23" s="94"/>
      <c r="I23" s="24"/>
      <c r="J23" s="24"/>
      <c r="K23" s="24"/>
      <c r="L23" s="24"/>
    </row>
    <row r="24" spans="1:12" s="41" customFormat="1" x14ac:dyDescent="0.35">
      <c r="A24" s="33" t="s">
        <v>45</v>
      </c>
      <c r="B24" s="77">
        <v>-44</v>
      </c>
      <c r="C24" s="77">
        <v>117</v>
      </c>
      <c r="D24" s="77">
        <v>522</v>
      </c>
      <c r="E24" s="77">
        <v>132</v>
      </c>
      <c r="F24" s="77">
        <v>121</v>
      </c>
      <c r="G24" s="69"/>
      <c r="H24" s="93"/>
      <c r="I24" s="69"/>
      <c r="J24" s="69"/>
      <c r="K24" s="69"/>
      <c r="L24" s="69"/>
    </row>
    <row r="25" spans="1:12" s="41" customFormat="1" x14ac:dyDescent="0.35">
      <c r="A25" s="33" t="s">
        <v>34</v>
      </c>
      <c r="B25" s="77">
        <v>275</v>
      </c>
      <c r="C25" s="77">
        <v>225</v>
      </c>
      <c r="D25" s="77">
        <v>22</v>
      </c>
      <c r="E25" s="77">
        <v>344</v>
      </c>
      <c r="F25" s="77">
        <v>-1</v>
      </c>
      <c r="G25" s="69"/>
      <c r="H25" s="93"/>
      <c r="I25" s="69"/>
      <c r="J25" s="69"/>
      <c r="K25" s="69"/>
      <c r="L25" s="69"/>
    </row>
    <row r="26" spans="1:12" x14ac:dyDescent="0.35">
      <c r="A26" s="34" t="s">
        <v>46</v>
      </c>
      <c r="B26" s="21">
        <f>B24+B25</f>
        <v>231</v>
      </c>
      <c r="C26" s="21">
        <f>C24+C25</f>
        <v>342</v>
      </c>
      <c r="D26" s="21">
        <f>D24+D25</f>
        <v>544</v>
      </c>
      <c r="E26" s="21">
        <f>E24+E25</f>
        <v>476</v>
      </c>
      <c r="F26" s="21">
        <f>F24+F25</f>
        <v>120</v>
      </c>
      <c r="G26" s="24">
        <f>G6*G57</f>
        <v>169.79226249751045</v>
      </c>
      <c r="H26" s="94">
        <f>F26+G26</f>
        <v>289.79226249751048</v>
      </c>
      <c r="I26" s="24">
        <f t="shared" ref="I26:L26" si="10">I6*I57</f>
        <v>542.6368807881596</v>
      </c>
      <c r="J26" s="24">
        <f t="shared" si="10"/>
        <v>588.01018498618339</v>
      </c>
      <c r="K26" s="24">
        <f t="shared" si="10"/>
        <v>637.32440118503212</v>
      </c>
      <c r="L26" s="24">
        <f t="shared" si="10"/>
        <v>690.93475165407585</v>
      </c>
    </row>
    <row r="27" spans="1:12" x14ac:dyDescent="0.35">
      <c r="A27" s="35"/>
      <c r="B27" s="21"/>
      <c r="C27" s="21"/>
      <c r="D27" s="21"/>
      <c r="E27" s="21"/>
      <c r="F27" s="21"/>
      <c r="G27" s="24"/>
      <c r="H27" s="94"/>
      <c r="I27" s="24"/>
      <c r="J27" s="24"/>
      <c r="K27" s="24"/>
      <c r="L27" s="24"/>
    </row>
    <row r="28" spans="1:12" s="41" customFormat="1" x14ac:dyDescent="0.35">
      <c r="A28" s="33" t="s">
        <v>47</v>
      </c>
      <c r="B28" s="77">
        <v>-935</v>
      </c>
      <c r="C28" s="77">
        <v>-1128</v>
      </c>
      <c r="D28" s="77">
        <v>-1863</v>
      </c>
      <c r="E28" s="77">
        <v>-939</v>
      </c>
      <c r="F28" s="77">
        <v>-401</v>
      </c>
      <c r="G28" s="69"/>
      <c r="H28" s="93"/>
      <c r="I28" s="69"/>
      <c r="J28" s="69"/>
      <c r="K28" s="69"/>
      <c r="L28" s="69"/>
    </row>
    <row r="29" spans="1:12" s="41" customFormat="1" x14ac:dyDescent="0.35">
      <c r="A29" s="33" t="s">
        <v>34</v>
      </c>
      <c r="B29" s="75">
        <v>0</v>
      </c>
      <c r="C29" s="75">
        <v>0</v>
      </c>
      <c r="D29" s="75">
        <v>842</v>
      </c>
      <c r="E29" s="75">
        <v>0</v>
      </c>
      <c r="F29" s="75">
        <v>0</v>
      </c>
      <c r="G29" s="69"/>
      <c r="H29" s="93"/>
      <c r="I29" s="69"/>
      <c r="J29" s="69"/>
      <c r="K29" s="69"/>
      <c r="L29" s="69"/>
    </row>
    <row r="30" spans="1:12" x14ac:dyDescent="0.35">
      <c r="A30" s="34" t="s">
        <v>48</v>
      </c>
      <c r="B30" s="78">
        <f>B28+B29</f>
        <v>-935</v>
      </c>
      <c r="C30" s="78">
        <f>C28+C29</f>
        <v>-1128</v>
      </c>
      <c r="D30" s="78">
        <f>D28+D29</f>
        <v>-1021</v>
      </c>
      <c r="E30" s="78">
        <f>E28+E29</f>
        <v>-939</v>
      </c>
      <c r="F30" s="78">
        <f>F28+F29</f>
        <v>-401</v>
      </c>
      <c r="G30" s="83">
        <f ca="1">-('Pepsico-Debt'!B47+'Pepsico-Debt'!M29)</f>
        <v>-626.18903076923061</v>
      </c>
      <c r="H30" s="96">
        <f ca="1">F30+G30</f>
        <v>-1027.1890307692306</v>
      </c>
      <c r="I30" s="83">
        <f ca="1">-('Pepsico-Debt'!C47+'Pepsico-Debt'!N29)</f>
        <v>-1089.0685972602741</v>
      </c>
      <c r="J30" s="83">
        <f ca="1">-('Pepsico-Debt'!D47+'Pepsico-Debt'!O29)</f>
        <v>-1024.4524999999999</v>
      </c>
      <c r="K30" s="83">
        <f ca="1">-('Pepsico-Debt'!E47+'Pepsico-Debt'!P29)</f>
        <v>-902.95718493150684</v>
      </c>
      <c r="L30" s="83">
        <f ca="1">-('Pepsico-Debt'!F47+'Pepsico-Debt'!Q29)</f>
        <v>-824.09249999999997</v>
      </c>
    </row>
    <row r="31" spans="1:12" x14ac:dyDescent="0.35">
      <c r="A31" s="34"/>
      <c r="B31" s="21"/>
      <c r="C31" s="21"/>
      <c r="D31" s="21"/>
      <c r="E31" s="21"/>
      <c r="F31" s="21"/>
      <c r="G31" s="24"/>
      <c r="H31" s="94"/>
      <c r="I31" s="24"/>
      <c r="J31" s="24"/>
      <c r="K31" s="24"/>
      <c r="L31" s="24"/>
    </row>
    <row r="32" spans="1:12" s="11" customFormat="1" x14ac:dyDescent="0.35">
      <c r="A32" s="34" t="s">
        <v>49</v>
      </c>
      <c r="B32" s="76">
        <f>B22+B26+B30</f>
        <v>9898</v>
      </c>
      <c r="C32" s="76">
        <f t="shared" ref="C32:E32" si="11">C22+C26+C30</f>
        <v>9745</v>
      </c>
      <c r="D32" s="76">
        <f t="shared" si="11"/>
        <v>10937</v>
      </c>
      <c r="E32" s="76">
        <f t="shared" si="11"/>
        <v>11862</v>
      </c>
      <c r="F32" s="76">
        <f>F22+F26+F30</f>
        <v>6380</v>
      </c>
      <c r="G32" s="70">
        <f ca="1">G22+G26+G30</f>
        <v>9106.7189936940376</v>
      </c>
      <c r="H32" s="95">
        <f ca="1">F32+G32</f>
        <v>15486.718993694038</v>
      </c>
      <c r="I32" s="70">
        <f t="shared" ref="I32:L32" ca="1" si="12">I22+I26+I30</f>
        <v>15112.160487853449</v>
      </c>
      <c r="J32" s="70">
        <f t="shared" ca="1" si="12"/>
        <v>16540.435322562291</v>
      </c>
      <c r="K32" s="70">
        <f t="shared" ca="1" si="12"/>
        <v>18143.531951429661</v>
      </c>
      <c r="L32" s="70">
        <f t="shared" ca="1" si="12"/>
        <v>19832.599208381132</v>
      </c>
    </row>
    <row r="33" spans="1:12" x14ac:dyDescent="0.35">
      <c r="A33" s="32"/>
      <c r="B33" s="21"/>
      <c r="C33" s="21"/>
      <c r="D33" s="21"/>
      <c r="E33" s="21"/>
      <c r="F33" s="21"/>
      <c r="G33" s="24"/>
      <c r="H33" s="94"/>
      <c r="I33" s="24"/>
      <c r="J33" s="24"/>
      <c r="K33" s="24"/>
      <c r="L33" s="24"/>
    </row>
    <row r="34" spans="1:12" s="41" customFormat="1" x14ac:dyDescent="0.35">
      <c r="A34" s="33" t="s">
        <v>65</v>
      </c>
      <c r="B34" s="75">
        <v>1959</v>
      </c>
      <c r="C34" s="75">
        <v>1894</v>
      </c>
      <c r="D34" s="75">
        <v>2142</v>
      </c>
      <c r="E34" s="75">
        <v>1727</v>
      </c>
      <c r="F34" s="75">
        <v>1293</v>
      </c>
      <c r="G34" s="69"/>
      <c r="H34" s="93"/>
      <c r="I34" s="69"/>
      <c r="J34" s="69"/>
      <c r="K34" s="69"/>
      <c r="L34" s="69"/>
    </row>
    <row r="35" spans="1:12" s="41" customFormat="1" x14ac:dyDescent="0.35">
      <c r="A35" s="33" t="s">
        <v>34</v>
      </c>
      <c r="B35" s="75">
        <v>120</v>
      </c>
      <c r="C35" s="75">
        <v>108</v>
      </c>
      <c r="D35" s="75">
        <v>45</v>
      </c>
      <c r="E35" s="75">
        <v>645</v>
      </c>
      <c r="F35" s="75">
        <v>88</v>
      </c>
      <c r="G35" s="69"/>
      <c r="H35" s="93"/>
      <c r="I35" s="69"/>
      <c r="J35" s="69"/>
      <c r="K35" s="69"/>
      <c r="L35" s="69"/>
    </row>
    <row r="36" spans="1:12" x14ac:dyDescent="0.35">
      <c r="A36" s="34" t="s">
        <v>50</v>
      </c>
      <c r="B36" s="21">
        <f>B34+B35</f>
        <v>2079</v>
      </c>
      <c r="C36" s="21">
        <f>C34+C35</f>
        <v>2002</v>
      </c>
      <c r="D36" s="21">
        <f>D34+D35</f>
        <v>2187</v>
      </c>
      <c r="E36" s="21">
        <f>E34+E35</f>
        <v>2372</v>
      </c>
      <c r="F36" s="21">
        <f>F34+F35</f>
        <v>1381</v>
      </c>
      <c r="G36" s="24">
        <f ca="1">G32*G59</f>
        <v>1971.2192680707628</v>
      </c>
      <c r="H36" s="94">
        <f ca="1">F36+G36</f>
        <v>3352.2192680707631</v>
      </c>
      <c r="I36" s="24">
        <f t="shared" ref="I36:L36" ca="1" si="13">I32*I59</f>
        <v>3321.0375232614151</v>
      </c>
      <c r="J36" s="24">
        <f t="shared" ca="1" si="13"/>
        <v>3898.0158445871862</v>
      </c>
      <c r="K36" s="24">
        <f t="shared" ca="1" si="13"/>
        <v>4564.4124303633116</v>
      </c>
      <c r="L36" s="24">
        <f t="shared" ca="1" si="13"/>
        <v>5304.803906878039</v>
      </c>
    </row>
    <row r="37" spans="1:12" x14ac:dyDescent="0.35">
      <c r="A37" s="32"/>
      <c r="B37" s="21"/>
      <c r="C37" s="21"/>
      <c r="D37" s="21"/>
      <c r="E37" s="21"/>
      <c r="F37" s="21"/>
      <c r="G37" s="24"/>
      <c r="H37" s="94"/>
      <c r="I37" s="24"/>
      <c r="J37" s="24"/>
      <c r="K37" s="24"/>
      <c r="L37" s="24"/>
    </row>
    <row r="38" spans="1:12" s="11" customFormat="1" x14ac:dyDescent="0.35">
      <c r="A38" s="34" t="s">
        <v>51</v>
      </c>
      <c r="B38" s="76">
        <f t="shared" ref="B38:G38" si="14">B32-B36</f>
        <v>7819</v>
      </c>
      <c r="C38" s="76">
        <f t="shared" si="14"/>
        <v>7743</v>
      </c>
      <c r="D38" s="76">
        <f t="shared" si="14"/>
        <v>8750</v>
      </c>
      <c r="E38" s="76">
        <f t="shared" si="14"/>
        <v>9490</v>
      </c>
      <c r="F38" s="76">
        <f t="shared" si="14"/>
        <v>4999</v>
      </c>
      <c r="G38" s="70">
        <f t="shared" ca="1" si="14"/>
        <v>7135.4997256232746</v>
      </c>
      <c r="H38" s="95">
        <f ca="1">F38+G38</f>
        <v>12134.499725623275</v>
      </c>
      <c r="I38" s="70">
        <f t="shared" ref="I38:L38" ca="1" si="15">I32-I36</f>
        <v>11791.122964592034</v>
      </c>
      <c r="J38" s="70">
        <f t="shared" ca="1" si="15"/>
        <v>12642.419477975105</v>
      </c>
      <c r="K38" s="70">
        <f t="shared" ca="1" si="15"/>
        <v>13579.11952106635</v>
      </c>
      <c r="L38" s="70">
        <f t="shared" ca="1" si="15"/>
        <v>14527.795301503094</v>
      </c>
    </row>
    <row r="39" spans="1:12" x14ac:dyDescent="0.35">
      <c r="A39" s="32"/>
      <c r="B39" s="21"/>
      <c r="C39" s="21"/>
      <c r="D39" s="21"/>
      <c r="E39" s="21"/>
      <c r="F39" s="21"/>
      <c r="G39" s="24"/>
      <c r="H39" s="94"/>
      <c r="I39" s="24"/>
      <c r="J39" s="24"/>
      <c r="K39" s="24"/>
      <c r="L39" s="24"/>
    </row>
    <row r="40" spans="1:12" s="41" customFormat="1" x14ac:dyDescent="0.35">
      <c r="A40" s="33" t="s">
        <v>52</v>
      </c>
      <c r="B40" s="75">
        <v>39</v>
      </c>
      <c r="C40" s="75">
        <v>55</v>
      </c>
      <c r="D40" s="75">
        <v>61</v>
      </c>
      <c r="E40" s="75">
        <v>68</v>
      </c>
      <c r="F40" s="75">
        <v>35</v>
      </c>
      <c r="G40" s="69"/>
      <c r="H40" s="93"/>
      <c r="I40" s="69"/>
      <c r="J40" s="69"/>
      <c r="K40" s="69"/>
      <c r="L40" s="69"/>
    </row>
    <row r="41" spans="1:12" s="41" customFormat="1" x14ac:dyDescent="0.35">
      <c r="A41" s="33" t="s">
        <v>34</v>
      </c>
      <c r="B41" s="75">
        <v>5</v>
      </c>
      <c r="C41" s="75">
        <v>0</v>
      </c>
      <c r="D41" s="75">
        <v>1</v>
      </c>
      <c r="E41" s="75">
        <v>1</v>
      </c>
      <c r="F41" s="75">
        <v>1</v>
      </c>
      <c r="G41" s="69"/>
      <c r="H41" s="93"/>
      <c r="I41" s="69"/>
      <c r="J41" s="69"/>
      <c r="K41" s="69"/>
      <c r="L41" s="69"/>
    </row>
    <row r="42" spans="1:12" x14ac:dyDescent="0.35">
      <c r="A42" s="34" t="s">
        <v>53</v>
      </c>
      <c r="B42" s="21">
        <f>B40+B41</f>
        <v>44</v>
      </c>
      <c r="C42" s="21">
        <f>C40+C41</f>
        <v>55</v>
      </c>
      <c r="D42" s="21">
        <f>D40+D41</f>
        <v>62</v>
      </c>
      <c r="E42" s="21">
        <f>E40+E41</f>
        <v>69</v>
      </c>
      <c r="F42" s="21">
        <f>F40+F41</f>
        <v>36</v>
      </c>
      <c r="G42" s="24">
        <f ca="1">G38*G61</f>
        <v>51.385875199527483</v>
      </c>
      <c r="H42" s="94">
        <f ca="1">F42+G42</f>
        <v>87.385875199527476</v>
      </c>
      <c r="I42" s="24">
        <f t="shared" ref="I42:L42" ca="1" si="16">I38*I61</f>
        <v>79.846636321448486</v>
      </c>
      <c r="J42" s="24">
        <f t="shared" ca="1" si="16"/>
        <v>85.611410661427314</v>
      </c>
      <c r="K42" s="24">
        <f t="shared" ca="1" si="16"/>
        <v>91.95451707356365</v>
      </c>
      <c r="L42" s="24">
        <f t="shared" ca="1" si="16"/>
        <v>98.378720286011429</v>
      </c>
    </row>
    <row r="43" spans="1:12" x14ac:dyDescent="0.35">
      <c r="A43" s="32"/>
      <c r="B43" s="21"/>
      <c r="C43" s="21"/>
      <c r="D43" s="21"/>
      <c r="E43" s="21"/>
      <c r="F43" s="21"/>
      <c r="G43" s="24"/>
      <c r="H43" s="94"/>
      <c r="I43" s="24"/>
      <c r="J43" s="24"/>
      <c r="K43" s="24"/>
      <c r="L43" s="24"/>
    </row>
    <row r="44" spans="1:12" s="11" customFormat="1" ht="15" thickBot="1" x14ac:dyDescent="0.4">
      <c r="A44" s="34" t="s">
        <v>54</v>
      </c>
      <c r="B44" s="22">
        <f t="shared" ref="B44:G44" si="17">B38-B42</f>
        <v>7775</v>
      </c>
      <c r="C44" s="22">
        <f t="shared" si="17"/>
        <v>7688</v>
      </c>
      <c r="D44" s="22">
        <f t="shared" si="17"/>
        <v>8688</v>
      </c>
      <c r="E44" s="22">
        <f t="shared" si="17"/>
        <v>9421</v>
      </c>
      <c r="F44" s="22">
        <f t="shared" si="17"/>
        <v>4963</v>
      </c>
      <c r="G44" s="27">
        <f t="shared" ca="1" si="17"/>
        <v>7084.113850423747</v>
      </c>
      <c r="H44" s="97">
        <f ca="1">F44+G44</f>
        <v>12047.113850423746</v>
      </c>
      <c r="I44" s="27">
        <f t="shared" ref="I44:L44" ca="1" si="18">I38-I42</f>
        <v>11711.276328270586</v>
      </c>
      <c r="J44" s="27">
        <f t="shared" ca="1" si="18"/>
        <v>12556.808067313677</v>
      </c>
      <c r="K44" s="27">
        <f t="shared" ca="1" si="18"/>
        <v>13487.165003992786</v>
      </c>
      <c r="L44" s="27">
        <f t="shared" ca="1" si="18"/>
        <v>14429.416581217083</v>
      </c>
    </row>
    <row r="45" spans="1:12" ht="15" thickTop="1" x14ac:dyDescent="0.35">
      <c r="A45" s="34"/>
      <c r="B45" s="21"/>
      <c r="C45" s="21"/>
      <c r="D45" s="21"/>
      <c r="E45" s="21"/>
      <c r="F45" s="21"/>
      <c r="G45" s="24"/>
      <c r="H45" s="94"/>
      <c r="I45" s="24"/>
      <c r="J45" s="24"/>
      <c r="K45" s="24"/>
      <c r="L45" s="24"/>
    </row>
    <row r="46" spans="1:12" x14ac:dyDescent="0.35">
      <c r="A46" s="34" t="s">
        <v>55</v>
      </c>
      <c r="B46" s="21">
        <v>1407</v>
      </c>
      <c r="C46" s="21">
        <v>1392</v>
      </c>
      <c r="D46" s="21">
        <v>1389</v>
      </c>
      <c r="E46" s="21">
        <v>1387</v>
      </c>
      <c r="F46" s="21">
        <v>1384</v>
      </c>
      <c r="G46" s="24">
        <f>F46</f>
        <v>1384</v>
      </c>
      <c r="H46" s="94">
        <f t="shared" ref="H46:L46" si="19">G46</f>
        <v>1384</v>
      </c>
      <c r="I46" s="24">
        <f t="shared" si="19"/>
        <v>1384</v>
      </c>
      <c r="J46" s="24">
        <f t="shared" si="19"/>
        <v>1384</v>
      </c>
      <c r="K46" s="24">
        <f t="shared" si="19"/>
        <v>1384</v>
      </c>
      <c r="L46" s="24">
        <f t="shared" si="19"/>
        <v>1384</v>
      </c>
    </row>
    <row r="47" spans="1:12" x14ac:dyDescent="0.35">
      <c r="A47" s="34"/>
      <c r="B47" s="21"/>
      <c r="C47" s="21"/>
      <c r="D47" s="21"/>
      <c r="E47" s="21"/>
      <c r="F47" s="21"/>
      <c r="G47" s="24"/>
      <c r="H47" s="94"/>
      <c r="I47" s="24"/>
      <c r="J47" s="24"/>
      <c r="K47" s="24"/>
      <c r="L47" s="24"/>
    </row>
    <row r="48" spans="1:12" ht="15" thickBot="1" x14ac:dyDescent="0.4">
      <c r="A48" s="34" t="s">
        <v>56</v>
      </c>
      <c r="B48" s="19">
        <f t="shared" ref="B48:E48" si="20">B44/B46</f>
        <v>5.5259417199715708</v>
      </c>
      <c r="C48" s="19">
        <f t="shared" si="20"/>
        <v>5.5229885057471266</v>
      </c>
      <c r="D48" s="19">
        <f t="shared" si="20"/>
        <v>6.2548596112311019</v>
      </c>
      <c r="E48" s="19">
        <f t="shared" si="20"/>
        <v>6.7923576063446287</v>
      </c>
      <c r="F48" s="19">
        <f>F44/F46</f>
        <v>3.5859826589595376</v>
      </c>
      <c r="G48" s="67">
        <f ca="1">G44/G46</f>
        <v>5.1185793716934587</v>
      </c>
      <c r="H48" s="98">
        <f ca="1">F48+G48</f>
        <v>8.7045620306529958</v>
      </c>
      <c r="I48" s="67">
        <f t="shared" ref="I48:L48" ca="1" si="21">I44/I46</f>
        <v>8.4619048614671861</v>
      </c>
      <c r="J48" s="67">
        <f t="shared" ca="1" si="21"/>
        <v>9.0728381989260676</v>
      </c>
      <c r="K48" s="67">
        <f t="shared" ca="1" si="21"/>
        <v>9.7450614190699323</v>
      </c>
      <c r="L48" s="67">
        <f t="shared" ca="1" si="21"/>
        <v>10.425879032671302</v>
      </c>
    </row>
    <row r="49" spans="1:15" x14ac:dyDescent="0.35">
      <c r="A49" s="32"/>
      <c r="G49" s="24"/>
      <c r="H49" s="24"/>
      <c r="I49" s="24"/>
      <c r="J49" s="24"/>
      <c r="K49" s="24"/>
      <c r="L49" s="24"/>
    </row>
    <row r="50" spans="1:15" ht="26" x14ac:dyDescent="0.35">
      <c r="A50" s="9" t="s">
        <v>13</v>
      </c>
      <c r="B50" s="295" t="s">
        <v>66</v>
      </c>
      <c r="C50" s="296"/>
      <c r="D50" s="295" t="s">
        <v>67</v>
      </c>
      <c r="E50" s="296"/>
      <c r="F50" s="16" t="s">
        <v>68</v>
      </c>
      <c r="G50" s="305" t="s">
        <v>29</v>
      </c>
      <c r="H50" s="306"/>
      <c r="I50" s="306"/>
      <c r="J50" s="306"/>
      <c r="K50" s="306"/>
      <c r="L50" s="307"/>
    </row>
    <row r="51" spans="1:15" x14ac:dyDescent="0.35">
      <c r="A51" s="32"/>
      <c r="G51" s="26"/>
      <c r="H51" s="26"/>
      <c r="I51" s="26"/>
      <c r="J51" s="26"/>
      <c r="K51" s="26"/>
      <c r="L51" s="26"/>
    </row>
    <row r="52" spans="1:15" x14ac:dyDescent="0.35">
      <c r="A52" s="32"/>
      <c r="G52" s="26"/>
      <c r="H52" s="26"/>
      <c r="I52" s="26"/>
      <c r="J52" s="26"/>
      <c r="K52" s="26"/>
      <c r="L52" s="26"/>
    </row>
    <row r="53" spans="1:15" x14ac:dyDescent="0.35">
      <c r="A53" s="37" t="s">
        <v>57</v>
      </c>
      <c r="G53" s="26"/>
      <c r="H53" s="26"/>
      <c r="I53" s="26"/>
      <c r="J53" s="26"/>
      <c r="K53" s="26"/>
      <c r="L53" s="26"/>
    </row>
    <row r="54" spans="1:15" x14ac:dyDescent="0.35">
      <c r="A54" s="2" t="s">
        <v>36</v>
      </c>
      <c r="B54" s="17">
        <f>B10/B6</f>
        <v>0.41458584595226394</v>
      </c>
      <c r="C54" s="17">
        <f t="shared" ref="C54:E54" si="22">C10/C6</f>
        <v>0.4187460921957597</v>
      </c>
      <c r="D54" s="17">
        <f t="shared" si="22"/>
        <v>0.43423006266200265</v>
      </c>
      <c r="E54" s="17">
        <f t="shared" si="22"/>
        <v>0.43668395221779793</v>
      </c>
      <c r="F54" s="17">
        <f>F10/F6</f>
        <v>0.42154507520845608</v>
      </c>
      <c r="G54" s="74">
        <f>F54</f>
        <v>0.42154507520845608</v>
      </c>
      <c r="H54" s="26"/>
      <c r="I54" s="84">
        <f>AVERAGE(B54:E54)</f>
        <v>0.42606148825695606</v>
      </c>
      <c r="J54" s="85">
        <f>I54</f>
        <v>0.42606148825695606</v>
      </c>
      <c r="K54" s="85">
        <f>J54</f>
        <v>0.42606148825695606</v>
      </c>
      <c r="L54" s="85">
        <f t="shared" ref="K54:L61" si="23">K54</f>
        <v>0.42606148825695606</v>
      </c>
    </row>
    <row r="55" spans="1:15" x14ac:dyDescent="0.35">
      <c r="A55" s="2" t="s">
        <v>41</v>
      </c>
      <c r="B55" s="17">
        <f>B18/B6</f>
        <v>0.39134319024433822</v>
      </c>
      <c r="C55" s="17">
        <f t="shared" ref="C55:F55" si="24">C18/C6</f>
        <v>0.39539873813448528</v>
      </c>
      <c r="D55" s="17">
        <f t="shared" si="24"/>
        <v>0.3880514382062058</v>
      </c>
      <c r="E55" s="17">
        <f t="shared" si="24"/>
        <v>0.38867024724511529</v>
      </c>
      <c r="F55" s="17">
        <f t="shared" si="24"/>
        <v>0.38105898772721403</v>
      </c>
      <c r="G55" s="74">
        <f>F55</f>
        <v>0.38105898772721403</v>
      </c>
      <c r="H55" s="26"/>
      <c r="I55" s="84">
        <f>AVERAGE(B55:E55)</f>
        <v>0.39086590345753613</v>
      </c>
      <c r="J55" s="85">
        <f>I55</f>
        <v>0.39086590345753613</v>
      </c>
      <c r="K55" s="85">
        <f t="shared" si="23"/>
        <v>0.39086590345753613</v>
      </c>
      <c r="L55" s="85">
        <f t="shared" si="23"/>
        <v>0.39086590345753613</v>
      </c>
    </row>
    <row r="56" spans="1:15" x14ac:dyDescent="0.35">
      <c r="A56" s="2"/>
      <c r="B56" s="17"/>
      <c r="C56" s="17"/>
      <c r="D56" s="17"/>
      <c r="E56" s="17"/>
      <c r="F56" s="17"/>
      <c r="G56" s="26"/>
      <c r="H56" s="26"/>
      <c r="I56" s="26"/>
      <c r="J56" s="26"/>
      <c r="K56" s="26"/>
      <c r="L56" s="26"/>
    </row>
    <row r="57" spans="1:15" x14ac:dyDescent="0.35">
      <c r="A57" s="2" t="s">
        <v>58</v>
      </c>
      <c r="B57" s="17">
        <f>B26/B6</f>
        <v>3.4394961361504444E-3</v>
      </c>
      <c r="C57" s="17">
        <f t="shared" ref="C57:F57" si="25">C26/C6</f>
        <v>4.8598874552378789E-3</v>
      </c>
      <c r="D57" s="17">
        <f t="shared" si="25"/>
        <v>6.8450059138837858E-3</v>
      </c>
      <c r="E57" s="17">
        <f t="shared" si="25"/>
        <v>5.5097694230947314E-3</v>
      </c>
      <c r="F57" s="17">
        <f t="shared" si="25"/>
        <v>2.9874526986656044E-3</v>
      </c>
      <c r="G57" s="74">
        <f>F57</f>
        <v>2.9874526986656044E-3</v>
      </c>
      <c r="H57" s="26"/>
      <c r="I57" s="84">
        <f>AVERAGE(B57:E57)</f>
        <v>5.1635397320917101E-3</v>
      </c>
      <c r="J57" s="85">
        <f>I57</f>
        <v>5.1635397320917101E-3</v>
      </c>
      <c r="K57" s="85">
        <f t="shared" si="23"/>
        <v>5.1635397320917101E-3</v>
      </c>
      <c r="L57" s="85">
        <f t="shared" si="23"/>
        <v>5.1635397320917101E-3</v>
      </c>
    </row>
    <row r="58" spans="1:15" x14ac:dyDescent="0.35">
      <c r="A58" s="2"/>
      <c r="G58" s="26"/>
      <c r="H58" s="26"/>
      <c r="I58" s="26"/>
      <c r="J58" s="26"/>
      <c r="K58" s="26"/>
      <c r="L58" s="26"/>
      <c r="O58" t="s">
        <v>476</v>
      </c>
    </row>
    <row r="59" spans="1:15" x14ac:dyDescent="0.35">
      <c r="A59" s="38" t="s">
        <v>59</v>
      </c>
      <c r="B59" s="17">
        <f>B36/B32</f>
        <v>0.21004243281471005</v>
      </c>
      <c r="C59" s="17">
        <f t="shared" ref="C59:F59" si="26">C36/C32</f>
        <v>0.20543868650590047</v>
      </c>
      <c r="D59" s="17">
        <f t="shared" si="26"/>
        <v>0.19996342689951541</v>
      </c>
      <c r="E59" s="17">
        <f t="shared" si="26"/>
        <v>0.19996627887371438</v>
      </c>
      <c r="F59" s="17">
        <f t="shared" si="26"/>
        <v>0.21645768025078371</v>
      </c>
      <c r="G59" s="74">
        <f>F59</f>
        <v>0.21645768025078371</v>
      </c>
      <c r="H59" s="26"/>
      <c r="I59" s="84">
        <f>AVERAGE(B59:E59)+$O$59</f>
        <v>0.21975928100622888</v>
      </c>
      <c r="J59" s="84">
        <f>I59+$O$59</f>
        <v>0.23566585573899768</v>
      </c>
      <c r="K59" s="84">
        <f t="shared" ref="K59:L59" si="27">J59+$O$59</f>
        <v>0.25157243047176647</v>
      </c>
      <c r="L59" s="84">
        <f t="shared" si="27"/>
        <v>0.26747900520453527</v>
      </c>
      <c r="M59" s="57">
        <f>AVERAGE(B59:F59)</f>
        <v>0.20637370106892483</v>
      </c>
      <c r="N59" s="101">
        <v>0.27</v>
      </c>
      <c r="O59">
        <f>(N59-M59)/4</f>
        <v>1.5906574732768797E-2</v>
      </c>
    </row>
    <row r="60" spans="1:15" x14ac:dyDescent="0.35">
      <c r="A60" s="39"/>
      <c r="G60" s="26"/>
      <c r="H60" s="26"/>
      <c r="I60" s="26"/>
      <c r="J60" s="26"/>
      <c r="K60" s="26"/>
      <c r="L60" s="26"/>
    </row>
    <row r="61" spans="1:15" x14ac:dyDescent="0.35">
      <c r="A61" s="2" t="s">
        <v>60</v>
      </c>
      <c r="B61" s="17">
        <f>B42/B38</f>
        <v>5.6273180713646244E-3</v>
      </c>
      <c r="C61" s="17">
        <f t="shared" ref="C61:F61" si="28">C42/C38</f>
        <v>7.1031899780446854E-3</v>
      </c>
      <c r="D61" s="17">
        <f t="shared" si="28"/>
        <v>7.0857142857142855E-3</v>
      </c>
      <c r="E61" s="17">
        <f>E42/E38</f>
        <v>7.2708113804004215E-3</v>
      </c>
      <c r="F61" s="17">
        <f t="shared" si="28"/>
        <v>7.2014402880576115E-3</v>
      </c>
      <c r="G61" s="74">
        <f>F61</f>
        <v>7.2014402880576115E-3</v>
      </c>
      <c r="H61" s="26"/>
      <c r="I61" s="84">
        <f>AVERAGE(B61:E61)</f>
        <v>6.7717584288810046E-3</v>
      </c>
      <c r="J61" s="85">
        <f>I61</f>
        <v>6.7717584288810046E-3</v>
      </c>
      <c r="K61" s="85">
        <f t="shared" si="23"/>
        <v>6.7717584288810046E-3</v>
      </c>
      <c r="L61" s="85">
        <f t="shared" si="23"/>
        <v>6.7717584288810046E-3</v>
      </c>
    </row>
    <row r="62" spans="1:15" x14ac:dyDescent="0.35">
      <c r="A62" s="40"/>
      <c r="G62" s="26"/>
      <c r="H62" s="26"/>
      <c r="I62" s="26"/>
      <c r="J62" s="26"/>
      <c r="K62" s="26"/>
      <c r="L62" s="26"/>
    </row>
    <row r="63" spans="1:15" x14ac:dyDescent="0.35">
      <c r="A63" s="40" t="s">
        <v>61</v>
      </c>
      <c r="B63">
        <v>237</v>
      </c>
      <c r="C63">
        <v>264</v>
      </c>
      <c r="D63">
        <v>301</v>
      </c>
      <c r="E63">
        <v>343</v>
      </c>
      <c r="F63">
        <v>179</v>
      </c>
      <c r="G63" s="68">
        <f>G64*G18</f>
        <v>253.27345822545311</v>
      </c>
      <c r="H63" s="68"/>
      <c r="I63" s="68">
        <f>I64*I18</f>
        <v>395.15426336728279</v>
      </c>
      <c r="J63" s="68">
        <f t="shared" ref="J63:L63" si="29">J64*J18</f>
        <v>428.19561243826354</v>
      </c>
      <c r="K63" s="68">
        <f t="shared" si="29"/>
        <v>464.10677783359608</v>
      </c>
      <c r="L63" s="68">
        <f t="shared" si="29"/>
        <v>503.14643639437685</v>
      </c>
    </row>
    <row r="64" spans="1:15" x14ac:dyDescent="0.35">
      <c r="A64" s="2" t="s">
        <v>62</v>
      </c>
      <c r="B64" s="17">
        <f>B63/B18</f>
        <v>9.0172354754023513E-3</v>
      </c>
      <c r="C64" s="17">
        <f t="shared" ref="C64:E64" si="30">C63/C18</f>
        <v>9.4878706199460917E-3</v>
      </c>
      <c r="D64" s="17">
        <f t="shared" si="30"/>
        <v>9.7600518806744488E-3</v>
      </c>
      <c r="E64" s="17">
        <f t="shared" si="30"/>
        <v>1.0215021740425278E-2</v>
      </c>
      <c r="F64" s="17">
        <f>F63/F18</f>
        <v>1.1694471859650632E-2</v>
      </c>
      <c r="G64" s="74">
        <f>F64</f>
        <v>1.1694471859650632E-2</v>
      </c>
      <c r="H64" s="26"/>
      <c r="I64" s="84">
        <f>AVERAGE(B64:E64)</f>
        <v>9.620044929112042E-3</v>
      </c>
      <c r="J64" s="85">
        <f>I64</f>
        <v>9.620044929112042E-3</v>
      </c>
      <c r="K64" s="85">
        <f t="shared" ref="K64" si="31">J64</f>
        <v>9.620044929112042E-3</v>
      </c>
      <c r="L64" s="85">
        <f t="shared" ref="L64" si="32">K64</f>
        <v>9.620044929112042E-3</v>
      </c>
    </row>
    <row r="65" spans="1:12" x14ac:dyDescent="0.35">
      <c r="A65" s="9"/>
      <c r="G65" s="26"/>
      <c r="H65" s="26"/>
      <c r="I65" s="26"/>
      <c r="J65" s="26"/>
      <c r="K65" s="26"/>
      <c r="L65" s="26"/>
    </row>
    <row r="66" spans="1:12" x14ac:dyDescent="0.35">
      <c r="A66" s="40"/>
      <c r="G66" s="26"/>
      <c r="H66" s="26"/>
      <c r="I66" s="26"/>
      <c r="J66" s="26"/>
      <c r="K66" s="26"/>
      <c r="L66" s="26"/>
    </row>
    <row r="67" spans="1:12" x14ac:dyDescent="0.35">
      <c r="A67" s="40" t="s">
        <v>63</v>
      </c>
      <c r="B67">
        <v>3.7925</v>
      </c>
      <c r="C67">
        <v>4.0225</v>
      </c>
      <c r="D67">
        <v>4.2474999999999996</v>
      </c>
      <c r="E67">
        <v>4.5250000000000004</v>
      </c>
      <c r="F67">
        <v>2.415</v>
      </c>
      <c r="G67" s="79">
        <f ca="1">H67-F67</f>
        <v>3.5909077941734546</v>
      </c>
      <c r="H67" s="79">
        <f ca="1">H68*H48</f>
        <v>6.0059077941734547</v>
      </c>
      <c r="I67" s="79">
        <f ca="1">I68*I48</f>
        <v>5.8384810381123238</v>
      </c>
      <c r="J67" s="79">
        <f t="shared" ref="J67:L67" ca="1" si="33">J68*J48</f>
        <v>6.2600081959685872</v>
      </c>
      <c r="K67" s="79">
        <f t="shared" ca="1" si="33"/>
        <v>6.7238236829590958</v>
      </c>
      <c r="L67" s="79">
        <f t="shared" ca="1" si="33"/>
        <v>7.1935690644659349</v>
      </c>
    </row>
    <row r="68" spans="1:12" x14ac:dyDescent="0.35">
      <c r="A68" s="40" t="s">
        <v>64</v>
      </c>
      <c r="B68" s="17">
        <f>B67/B48</f>
        <v>0.6863083601286174</v>
      </c>
      <c r="C68" s="17">
        <f t="shared" ref="C68:F68" si="34">C67/C48</f>
        <v>0.72831945889698224</v>
      </c>
      <c r="D68" s="17">
        <f t="shared" si="34"/>
        <v>0.67907199585635347</v>
      </c>
      <c r="E68" s="17">
        <f t="shared" si="34"/>
        <v>0.66618989491561409</v>
      </c>
      <c r="F68" s="17">
        <f t="shared" si="34"/>
        <v>0.67345557122708044</v>
      </c>
      <c r="G68" s="26"/>
      <c r="H68" s="61">
        <f>AVERAGE(B68:E68)</f>
        <v>0.6899724274493918</v>
      </c>
      <c r="I68" s="74">
        <f>H68</f>
        <v>0.6899724274493918</v>
      </c>
      <c r="J68" s="74">
        <f t="shared" ref="J68:L68" si="35">I68</f>
        <v>0.6899724274493918</v>
      </c>
      <c r="K68" s="74">
        <f t="shared" si="35"/>
        <v>0.6899724274493918</v>
      </c>
      <c r="L68" s="74">
        <f t="shared" si="35"/>
        <v>0.6899724274493918</v>
      </c>
    </row>
    <row r="69" spans="1:12" x14ac:dyDescent="0.35">
      <c r="A69" s="9"/>
      <c r="G69" s="26"/>
      <c r="H69" s="26"/>
      <c r="I69" s="26"/>
      <c r="J69" s="26"/>
      <c r="K69" s="26"/>
      <c r="L69" s="26"/>
    </row>
    <row r="70" spans="1:12" x14ac:dyDescent="0.35">
      <c r="G70" s="26"/>
      <c r="H70" s="26"/>
      <c r="I70" s="26"/>
      <c r="J70" s="26"/>
      <c r="K70" s="26"/>
      <c r="L70" s="26"/>
    </row>
    <row r="71" spans="1:12" x14ac:dyDescent="0.35">
      <c r="A71" s="40" t="s">
        <v>37</v>
      </c>
      <c r="B71">
        <f>B11</f>
        <v>2196</v>
      </c>
      <c r="C71">
        <f>C11</f>
        <v>2331</v>
      </c>
      <c r="D71">
        <f>D11</f>
        <v>2496</v>
      </c>
      <c r="E71">
        <f>E11</f>
        <v>2564</v>
      </c>
    </row>
    <row r="72" spans="1:12" x14ac:dyDescent="0.35">
      <c r="A72" s="40" t="s">
        <v>42</v>
      </c>
      <c r="B72">
        <f t="shared" ref="B72:E73" si="36">B19</f>
        <v>155</v>
      </c>
      <c r="C72">
        <f t="shared" si="36"/>
        <v>127</v>
      </c>
      <c r="D72">
        <f t="shared" si="36"/>
        <v>123</v>
      </c>
      <c r="E72">
        <f t="shared" si="36"/>
        <v>121</v>
      </c>
    </row>
    <row r="73" spans="1:12" x14ac:dyDescent="0.35">
      <c r="A73" s="40" t="s">
        <v>128</v>
      </c>
      <c r="B73">
        <f t="shared" si="36"/>
        <v>81</v>
      </c>
      <c r="C73">
        <f t="shared" si="36"/>
        <v>90</v>
      </c>
      <c r="D73">
        <f t="shared" si="36"/>
        <v>91</v>
      </c>
      <c r="E73">
        <f t="shared" si="36"/>
        <v>78</v>
      </c>
    </row>
    <row r="74" spans="1:12" ht="15" thickBot="1" x14ac:dyDescent="0.4">
      <c r="A74" s="40" t="s">
        <v>130</v>
      </c>
      <c r="B74" s="55">
        <f>B71+B72+B73</f>
        <v>2432</v>
      </c>
      <c r="C74" s="55">
        <f t="shared" ref="C74:E74" si="37">C71+C72+C73</f>
        <v>2548</v>
      </c>
      <c r="D74" s="55">
        <f t="shared" si="37"/>
        <v>2710</v>
      </c>
      <c r="E74" s="55">
        <f t="shared" si="37"/>
        <v>2763</v>
      </c>
    </row>
    <row r="75" spans="1:12" ht="15" thickTop="1" x14ac:dyDescent="0.35">
      <c r="A75" s="40"/>
    </row>
    <row r="76" spans="1:12" x14ac:dyDescent="0.35">
      <c r="A76" s="40" t="s">
        <v>131</v>
      </c>
      <c r="B76" s="17">
        <f>B71/B$74</f>
        <v>0.90296052631578949</v>
      </c>
      <c r="C76" s="17">
        <f t="shared" ref="C76:E76" si="38">C71/C$74</f>
        <v>0.9148351648351648</v>
      </c>
      <c r="D76" s="17">
        <f t="shared" si="38"/>
        <v>0.92103321033210328</v>
      </c>
      <c r="E76" s="17">
        <f t="shared" si="38"/>
        <v>0.92797683677162501</v>
      </c>
      <c r="F76" s="86">
        <f>AVERAGE(B76:E76)</f>
        <v>0.9167014345636707</v>
      </c>
    </row>
    <row r="77" spans="1:12" x14ac:dyDescent="0.35">
      <c r="A77" s="40" t="s">
        <v>132</v>
      </c>
      <c r="B77" s="17">
        <f t="shared" ref="B77:E78" si="39">B72/B$74</f>
        <v>6.3733552631578941E-2</v>
      </c>
      <c r="C77" s="17">
        <f t="shared" si="39"/>
        <v>4.9843014128728415E-2</v>
      </c>
      <c r="D77" s="17">
        <f t="shared" si="39"/>
        <v>4.5387453874538748E-2</v>
      </c>
      <c r="E77" s="17">
        <f t="shared" si="39"/>
        <v>4.379297864639884E-2</v>
      </c>
      <c r="F77" s="87">
        <f t="shared" ref="F77:F78" si="40">AVERAGE(B77:E77)</f>
        <v>5.0689249820311234E-2</v>
      </c>
    </row>
    <row r="78" spans="1:12" x14ac:dyDescent="0.35">
      <c r="A78" s="40" t="s">
        <v>133</v>
      </c>
      <c r="B78" s="17">
        <f t="shared" si="39"/>
        <v>3.3305921052631582E-2</v>
      </c>
      <c r="C78" s="17">
        <f t="shared" si="39"/>
        <v>3.5321821036106753E-2</v>
      </c>
      <c r="D78" s="17">
        <f t="shared" si="39"/>
        <v>3.3579335793357937E-2</v>
      </c>
      <c r="E78" s="17">
        <f t="shared" si="39"/>
        <v>2.8230184581976112E-2</v>
      </c>
      <c r="F78" s="88">
        <f t="shared" si="40"/>
        <v>3.2609315616018097E-2</v>
      </c>
    </row>
  </sheetData>
  <mergeCells count="3">
    <mergeCell ref="B50:C50"/>
    <mergeCell ref="D50:E50"/>
    <mergeCell ref="G50:L5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5355-3FE2-417C-9B9F-EF8FEBD2DABE}">
  <dimension ref="A1:AB39"/>
  <sheetViews>
    <sheetView showGridLines="0" zoomScale="68" zoomScaleNormal="130" workbookViewId="0">
      <selection activeCell="AL23" sqref="AL23"/>
    </sheetView>
  </sheetViews>
  <sheetFormatPr defaultRowHeight="14.5" x14ac:dyDescent="0.35"/>
  <cols>
    <col min="1" max="1" width="31.6328125" bestFit="1" customWidth="1"/>
    <col min="2" max="5" width="12.08984375" bestFit="1" customWidth="1"/>
    <col min="7" max="8" width="11.90625" bestFit="1" customWidth="1"/>
    <col min="10" max="11" width="12.08984375" bestFit="1" customWidth="1"/>
    <col min="13" max="17" width="12.08984375" bestFit="1" customWidth="1"/>
  </cols>
  <sheetData>
    <row r="1" spans="1:19" x14ac:dyDescent="0.35">
      <c r="A1" s="1" t="s">
        <v>0</v>
      </c>
      <c r="C1" s="310" t="s">
        <v>14</v>
      </c>
      <c r="D1" s="310"/>
    </row>
    <row r="2" spans="1:19" x14ac:dyDescent="0.35">
      <c r="A2" s="2" t="s">
        <v>1</v>
      </c>
      <c r="C2" s="311">
        <v>45138</v>
      </c>
      <c r="D2" s="311"/>
    </row>
    <row r="3" spans="1:19" x14ac:dyDescent="0.35">
      <c r="A3" s="3" t="s">
        <v>2</v>
      </c>
      <c r="B3" s="12" t="s">
        <v>15</v>
      </c>
      <c r="C3" s="12" t="s">
        <v>15</v>
      </c>
      <c r="D3" s="12" t="s">
        <v>15</v>
      </c>
      <c r="E3" s="12" t="s">
        <v>15</v>
      </c>
      <c r="G3" s="12" t="s">
        <v>16</v>
      </c>
      <c r="H3" s="12" t="s">
        <v>16</v>
      </c>
      <c r="J3" s="12" t="s">
        <v>16</v>
      </c>
      <c r="K3" s="13" t="s">
        <v>16</v>
      </c>
      <c r="M3" s="13" t="s">
        <v>15</v>
      </c>
      <c r="N3" s="13" t="s">
        <v>15</v>
      </c>
      <c r="O3" s="13" t="s">
        <v>15</v>
      </c>
      <c r="P3" s="13" t="s">
        <v>15</v>
      </c>
      <c r="Q3" s="13" t="s">
        <v>15</v>
      </c>
    </row>
    <row r="4" spans="1:19" x14ac:dyDescent="0.35">
      <c r="A4" s="4"/>
      <c r="B4" s="14" t="s">
        <v>17</v>
      </c>
      <c r="C4" s="14" t="s">
        <v>18</v>
      </c>
      <c r="D4" s="14" t="s">
        <v>19</v>
      </c>
      <c r="E4" s="14" t="s">
        <v>20</v>
      </c>
      <c r="G4" s="14" t="s">
        <v>137</v>
      </c>
      <c r="H4" s="14" t="s">
        <v>136</v>
      </c>
      <c r="J4" s="14" t="s">
        <v>20</v>
      </c>
      <c r="K4" s="15" t="s">
        <v>21</v>
      </c>
      <c r="M4" s="15" t="s">
        <v>21</v>
      </c>
      <c r="N4" s="15" t="s">
        <v>22</v>
      </c>
      <c r="O4" s="15" t="s">
        <v>23</v>
      </c>
      <c r="P4" s="15" t="s">
        <v>24</v>
      </c>
      <c r="Q4" s="15" t="s">
        <v>25</v>
      </c>
    </row>
    <row r="5" spans="1:19" s="21" customFormat="1" x14ac:dyDescent="0.35">
      <c r="A5" s="20" t="s">
        <v>3</v>
      </c>
      <c r="B5" s="21">
        <v>17078</v>
      </c>
      <c r="C5" s="21">
        <v>18189</v>
      </c>
      <c r="D5" s="21">
        <v>19608</v>
      </c>
      <c r="E5" s="21">
        <v>23291</v>
      </c>
      <c r="G5" s="28">
        <v>10020</v>
      </c>
      <c r="H5" s="28">
        <v>11487</v>
      </c>
      <c r="J5" s="28">
        <f>E5-G5</f>
        <v>13271</v>
      </c>
      <c r="K5" s="24">
        <f>J5*(1+K7)</f>
        <v>15261.65</v>
      </c>
      <c r="M5" s="24">
        <f>H5+K5</f>
        <v>26748.65</v>
      </c>
      <c r="N5" s="24">
        <f>M5*(1+$N7)</f>
        <v>29055.721062500001</v>
      </c>
      <c r="O5" s="24">
        <f t="shared" ref="O5:Q5" si="0">N5*(1+$N7)</f>
        <v>31561.777004140626</v>
      </c>
      <c r="P5" s="24">
        <f t="shared" si="0"/>
        <v>34283.98027074775</v>
      </c>
      <c r="Q5" s="24">
        <f t="shared" si="0"/>
        <v>37240.97356909974</v>
      </c>
    </row>
    <row r="6" spans="1:19" x14ac:dyDescent="0.35">
      <c r="A6" s="6" t="s">
        <v>4</v>
      </c>
      <c r="B6" s="17"/>
      <c r="C6" s="17">
        <f>C5/B5-1</f>
        <v>6.5054456025295693E-2</v>
      </c>
      <c r="D6" s="17">
        <f>D5/C5-1</f>
        <v>7.8014184397163122E-2</v>
      </c>
      <c r="E6" s="56">
        <f t="shared" ref="E6" si="1">E5/D5-1</f>
        <v>0.18783149734802129</v>
      </c>
      <c r="F6" s="17"/>
      <c r="G6" s="29"/>
      <c r="H6" s="29">
        <f>H5/G5-1</f>
        <v>0.14640718562874255</v>
      </c>
      <c r="I6" s="17"/>
      <c r="J6" s="29"/>
      <c r="K6" s="25"/>
      <c r="L6" s="17"/>
      <c r="M6" s="25"/>
      <c r="N6" s="25"/>
      <c r="O6" s="25"/>
      <c r="P6" s="25"/>
      <c r="Q6" s="25"/>
      <c r="R6" s="17"/>
      <c r="S6" s="17"/>
    </row>
    <row r="7" spans="1:19" x14ac:dyDescent="0.35">
      <c r="A7" s="6" t="s">
        <v>5</v>
      </c>
      <c r="B7" s="17">
        <v>4.4999999999999998E-2</v>
      </c>
      <c r="C7" s="17">
        <v>0.06</v>
      </c>
      <c r="D7" s="17">
        <v>7.0000000000000007E-2</v>
      </c>
      <c r="E7" s="17">
        <v>0.17</v>
      </c>
      <c r="F7" s="18">
        <f>AVERAGE(B7:E7)</f>
        <v>8.6249999999999993E-2</v>
      </c>
      <c r="G7" s="29"/>
      <c r="H7" s="29">
        <v>0.15</v>
      </c>
      <c r="I7" s="17"/>
      <c r="J7" s="29"/>
      <c r="K7" s="25">
        <f>H7</f>
        <v>0.15</v>
      </c>
      <c r="L7" s="17"/>
      <c r="M7" s="25"/>
      <c r="N7" s="18">
        <f>F7</f>
        <v>8.6249999999999993E-2</v>
      </c>
      <c r="O7" s="25"/>
      <c r="P7" s="25"/>
      <c r="Q7" s="25"/>
      <c r="R7" s="17"/>
      <c r="S7" s="17"/>
    </row>
    <row r="8" spans="1:19" x14ac:dyDescent="0.35">
      <c r="A8" s="5"/>
      <c r="G8" s="30"/>
      <c r="H8" s="30"/>
      <c r="J8" s="30"/>
      <c r="K8" s="26"/>
      <c r="M8" s="26"/>
      <c r="N8" s="26"/>
      <c r="O8" s="26"/>
      <c r="P8" s="26"/>
      <c r="Q8" s="26"/>
    </row>
    <row r="9" spans="1:19" s="21" customFormat="1" x14ac:dyDescent="0.35">
      <c r="A9" s="20" t="s">
        <v>6</v>
      </c>
      <c r="B9" s="21">
        <v>2482</v>
      </c>
      <c r="C9" s="21">
        <v>2742</v>
      </c>
      <c r="D9" s="21">
        <v>2751</v>
      </c>
      <c r="E9" s="21">
        <v>3160</v>
      </c>
      <c r="G9" s="28">
        <v>1388</v>
      </c>
      <c r="H9" s="28">
        <v>1461</v>
      </c>
      <c r="J9" s="28">
        <f>E9-G9</f>
        <v>1772</v>
      </c>
      <c r="K9" s="24">
        <f>J9*(1+K11)</f>
        <v>1878.3200000000002</v>
      </c>
      <c r="M9" s="24">
        <f>H9+K9</f>
        <v>3339.32</v>
      </c>
      <c r="N9" s="24">
        <f>M9*(1+$N11)</f>
        <v>3548.0275000000001</v>
      </c>
      <c r="O9" s="24">
        <f t="shared" ref="O9:Q9" si="2">N9*(1+$N11)</f>
        <v>3769.7792187499999</v>
      </c>
      <c r="P9" s="24">
        <f t="shared" si="2"/>
        <v>4005.390419921875</v>
      </c>
      <c r="Q9" s="24">
        <f t="shared" si="2"/>
        <v>4255.7273211669926</v>
      </c>
    </row>
    <row r="10" spans="1:19" x14ac:dyDescent="0.35">
      <c r="A10" s="6" t="s">
        <v>4</v>
      </c>
      <c r="B10" s="17"/>
      <c r="C10" s="17">
        <f>C9/B9-1</f>
        <v>0.10475423045930699</v>
      </c>
      <c r="D10" s="17">
        <f t="shared" ref="D10:E10" si="3">D9/C9-1</f>
        <v>3.2822757111596879E-3</v>
      </c>
      <c r="E10" s="17">
        <f t="shared" si="3"/>
        <v>0.14867320974191212</v>
      </c>
      <c r="F10" s="17"/>
      <c r="G10" s="29"/>
      <c r="H10" s="29">
        <f>H9/G9-1</f>
        <v>5.2593659942363091E-2</v>
      </c>
      <c r="I10" s="17"/>
      <c r="J10" s="29"/>
      <c r="K10" s="25"/>
      <c r="L10" s="17"/>
      <c r="M10" s="25"/>
      <c r="N10" s="25"/>
      <c r="O10" s="25"/>
      <c r="P10" s="25"/>
      <c r="Q10" s="25"/>
      <c r="R10" s="17"/>
    </row>
    <row r="11" spans="1:19" x14ac:dyDescent="0.35">
      <c r="A11" s="6" t="s">
        <v>5</v>
      </c>
      <c r="B11" s="17">
        <v>0.01</v>
      </c>
      <c r="C11" s="17">
        <v>0.11</v>
      </c>
      <c r="D11" s="17">
        <v>0</v>
      </c>
      <c r="E11" s="17">
        <v>0.13</v>
      </c>
      <c r="F11" s="18">
        <f>AVERAGE(B11:E11)</f>
        <v>6.25E-2</v>
      </c>
      <c r="G11" s="29"/>
      <c r="H11" s="29">
        <v>0.06</v>
      </c>
      <c r="I11" s="17"/>
      <c r="J11" s="29"/>
      <c r="K11" s="25">
        <f>H11</f>
        <v>0.06</v>
      </c>
      <c r="L11" s="17"/>
      <c r="M11" s="25"/>
      <c r="N11" s="18">
        <f>F11</f>
        <v>6.25E-2</v>
      </c>
      <c r="O11" s="25"/>
      <c r="P11" s="25"/>
      <c r="Q11" s="25"/>
      <c r="R11" s="17"/>
    </row>
    <row r="12" spans="1:19" x14ac:dyDescent="0.35">
      <c r="A12" s="5"/>
      <c r="G12" s="30"/>
      <c r="H12" s="30"/>
      <c r="J12" s="30"/>
      <c r="K12" s="26"/>
      <c r="M12" s="26"/>
      <c r="N12" s="26"/>
      <c r="O12" s="26"/>
      <c r="P12" s="26"/>
      <c r="Q12" s="26"/>
    </row>
    <row r="13" spans="1:19" s="21" customFormat="1" x14ac:dyDescent="0.35">
      <c r="A13" s="20" t="s">
        <v>7</v>
      </c>
      <c r="B13" s="21">
        <v>21730</v>
      </c>
      <c r="C13" s="21">
        <v>22559</v>
      </c>
      <c r="D13" s="21">
        <v>25276</v>
      </c>
      <c r="E13" s="21">
        <v>26213</v>
      </c>
      <c r="G13" s="28">
        <v>11473</v>
      </c>
      <c r="H13" s="28">
        <v>12553</v>
      </c>
      <c r="J13" s="28">
        <f>E13-G13</f>
        <v>14740</v>
      </c>
      <c r="K13" s="24">
        <f>J13*(1+K15)</f>
        <v>16361.400000000001</v>
      </c>
      <c r="M13" s="24">
        <f>H13+K13</f>
        <v>28914.400000000001</v>
      </c>
      <c r="N13" s="24">
        <f>M13*(1+$N15)</f>
        <v>30793.835999999999</v>
      </c>
      <c r="O13" s="24">
        <f t="shared" ref="O13:Q13" si="4">N13*(1+$N15)</f>
        <v>32795.435339999996</v>
      </c>
      <c r="P13" s="24">
        <f t="shared" si="4"/>
        <v>34927.138637099997</v>
      </c>
      <c r="Q13" s="24">
        <f t="shared" si="4"/>
        <v>37197.402648511495</v>
      </c>
    </row>
    <row r="14" spans="1:19" x14ac:dyDescent="0.35">
      <c r="A14" s="6" t="s">
        <v>4</v>
      </c>
      <c r="B14" s="17"/>
      <c r="C14" s="17">
        <f>C13/B13-1</f>
        <v>3.815002300966408E-2</v>
      </c>
      <c r="D14" s="17">
        <f t="shared" ref="D14:E14" si="5">D13/C13-1</f>
        <v>0.120439735803892</v>
      </c>
      <c r="E14" s="17">
        <f t="shared" si="5"/>
        <v>3.7070739040987455E-2</v>
      </c>
      <c r="F14" s="17"/>
      <c r="G14" s="29"/>
      <c r="H14" s="29">
        <f>H13/G13-1</f>
        <v>9.4134053865597478E-2</v>
      </c>
      <c r="I14" s="17"/>
      <c r="J14" s="29"/>
      <c r="K14" s="25"/>
      <c r="L14" s="17"/>
      <c r="M14" s="25"/>
      <c r="N14" s="25"/>
      <c r="O14" s="25"/>
      <c r="P14" s="25"/>
      <c r="Q14" s="25"/>
      <c r="R14" s="17"/>
    </row>
    <row r="15" spans="1:19" x14ac:dyDescent="0.35">
      <c r="A15" s="6" t="s">
        <v>5</v>
      </c>
      <c r="B15" s="17">
        <v>0.03</v>
      </c>
      <c r="C15" s="17">
        <v>0.02</v>
      </c>
      <c r="D15" s="17">
        <v>0.1</v>
      </c>
      <c r="E15" s="17">
        <v>0.11</v>
      </c>
      <c r="F15" s="18">
        <f>AVERAGE(B15:E15)</f>
        <v>6.5000000000000002E-2</v>
      </c>
      <c r="G15" s="29"/>
      <c r="H15" s="29">
        <v>0.11</v>
      </c>
      <c r="I15" s="17"/>
      <c r="J15" s="29"/>
      <c r="K15" s="25">
        <f>H15</f>
        <v>0.11</v>
      </c>
      <c r="L15" s="17"/>
      <c r="M15" s="25"/>
      <c r="N15" s="18">
        <f>F15</f>
        <v>6.5000000000000002E-2</v>
      </c>
      <c r="O15" s="25"/>
      <c r="P15" s="25"/>
      <c r="Q15" s="25"/>
      <c r="R15" s="17"/>
    </row>
    <row r="16" spans="1:19" x14ac:dyDescent="0.35">
      <c r="A16" s="5"/>
      <c r="G16" s="30"/>
      <c r="H16" s="30"/>
      <c r="J16" s="30"/>
      <c r="K16" s="26"/>
      <c r="M16" s="26"/>
      <c r="N16" s="26"/>
      <c r="O16" s="26"/>
      <c r="P16" s="26"/>
      <c r="Q16" s="26"/>
    </row>
    <row r="17" spans="1:28" s="21" customFormat="1" x14ac:dyDescent="0.35">
      <c r="A17" s="20" t="s">
        <v>8</v>
      </c>
      <c r="B17" s="21">
        <v>7573</v>
      </c>
      <c r="C17" s="21">
        <v>6942</v>
      </c>
      <c r="D17" s="21">
        <v>8108</v>
      </c>
      <c r="E17" s="21">
        <v>9779</v>
      </c>
      <c r="G17" s="28">
        <v>3889</v>
      </c>
      <c r="H17" s="28">
        <v>4633</v>
      </c>
      <c r="J17" s="28">
        <f>E17-G17</f>
        <v>5890</v>
      </c>
      <c r="K17" s="24">
        <f>J17*(1+K19)</f>
        <v>6714.6</v>
      </c>
      <c r="M17" s="24">
        <f>H17+K17</f>
        <v>11347.6</v>
      </c>
      <c r="N17" s="24">
        <f>M17*(1+$N19)</f>
        <v>12652.574000000001</v>
      </c>
      <c r="O17" s="24">
        <f t="shared" ref="O17:Q17" si="6">N17*(1+$N19)</f>
        <v>14107.620010000001</v>
      </c>
      <c r="P17" s="24">
        <f t="shared" si="6"/>
        <v>15729.99631115</v>
      </c>
      <c r="Q17" s="24">
        <f t="shared" si="6"/>
        <v>17538.945886932252</v>
      </c>
    </row>
    <row r="18" spans="1:28" x14ac:dyDescent="0.35">
      <c r="A18" s="6" t="s">
        <v>4</v>
      </c>
      <c r="B18" s="17"/>
      <c r="C18" s="17">
        <f>C17/B17-1</f>
        <v>-8.3322329327875311E-2</v>
      </c>
      <c r="D18" s="17">
        <f t="shared" ref="D18:E18" si="7">D17/C17-1</f>
        <v>0.16796312301930283</v>
      </c>
      <c r="E18" s="17">
        <f t="shared" si="7"/>
        <v>0.20609274790330545</v>
      </c>
      <c r="F18" s="17"/>
      <c r="G18" s="29"/>
      <c r="H18" s="29">
        <f>H17/G17-1</f>
        <v>0.19130881974800729</v>
      </c>
      <c r="I18" s="17"/>
      <c r="J18" s="29"/>
      <c r="K18" s="25"/>
      <c r="L18" s="17"/>
      <c r="M18" s="25"/>
      <c r="N18" s="25"/>
      <c r="O18" s="25"/>
      <c r="P18" s="25"/>
      <c r="Q18" s="25"/>
      <c r="R18" s="17"/>
      <c r="S18" s="17"/>
    </row>
    <row r="19" spans="1:28" x14ac:dyDescent="0.35">
      <c r="A19" s="6" t="s">
        <v>5</v>
      </c>
      <c r="B19" s="17">
        <v>7.0000000000000007E-2</v>
      </c>
      <c r="C19" s="17">
        <v>0.03</v>
      </c>
      <c r="D19" s="17">
        <v>0.15</v>
      </c>
      <c r="E19" s="17">
        <v>0.21</v>
      </c>
      <c r="F19" s="18">
        <f>AVERAGE(B19:E19)</f>
        <v>0.11499999999999999</v>
      </c>
      <c r="G19" s="29"/>
      <c r="H19" s="29">
        <v>0.14000000000000001</v>
      </c>
      <c r="I19" s="17"/>
      <c r="J19" s="29"/>
      <c r="K19" s="25">
        <f>H19</f>
        <v>0.14000000000000001</v>
      </c>
      <c r="L19" s="17"/>
      <c r="M19" s="25"/>
      <c r="N19" s="18">
        <f>F19</f>
        <v>0.11499999999999999</v>
      </c>
      <c r="O19" s="25"/>
      <c r="P19" s="25"/>
      <c r="Q19" s="25"/>
      <c r="R19" s="17"/>
      <c r="S19" s="17"/>
    </row>
    <row r="20" spans="1:28" x14ac:dyDescent="0.35">
      <c r="A20" s="5"/>
      <c r="G20" s="30"/>
      <c r="H20" s="30"/>
      <c r="J20" s="30"/>
      <c r="K20" s="26"/>
      <c r="M20" s="26"/>
      <c r="N20" s="26"/>
      <c r="O20" s="26"/>
      <c r="P20" s="26"/>
      <c r="Q20" s="26"/>
    </row>
    <row r="21" spans="1:28" s="21" customFormat="1" x14ac:dyDescent="0.35">
      <c r="A21" s="20" t="s">
        <v>9</v>
      </c>
      <c r="B21" s="21">
        <v>11728</v>
      </c>
      <c r="C21" s="21">
        <v>11922</v>
      </c>
      <c r="D21" s="21">
        <v>13038</v>
      </c>
      <c r="E21" s="21">
        <v>12724</v>
      </c>
      <c r="G21" s="28">
        <v>4820</v>
      </c>
      <c r="H21" s="28">
        <v>5314</v>
      </c>
      <c r="J21" s="28">
        <f>E21-G21</f>
        <v>7904</v>
      </c>
      <c r="K21" s="24">
        <f>J21*(1+K23)</f>
        <v>9247.68</v>
      </c>
      <c r="M21" s="24">
        <f>H21+K21</f>
        <v>14561.68</v>
      </c>
      <c r="N21" s="24">
        <f>M21*(1+$N23)</f>
        <v>15744.816500000001</v>
      </c>
      <c r="O21" s="24">
        <f t="shared" ref="O21:Q21" si="8">N21*(1+$N23)</f>
        <v>17024.082840625</v>
      </c>
      <c r="P21" s="24">
        <f t="shared" si="8"/>
        <v>18407.289571425783</v>
      </c>
      <c r="Q21" s="24">
        <f t="shared" si="8"/>
        <v>19902.881849104127</v>
      </c>
    </row>
    <row r="22" spans="1:28" x14ac:dyDescent="0.35">
      <c r="A22" s="6" t="s">
        <v>4</v>
      </c>
      <c r="B22" s="17"/>
      <c r="C22" s="17">
        <f>C21/B21-1</f>
        <v>1.6541609822646741E-2</v>
      </c>
      <c r="D22" s="17">
        <f t="shared" ref="D22:E22" si="9">D21/C21-1</f>
        <v>9.3608454957222031E-2</v>
      </c>
      <c r="E22" s="17">
        <f t="shared" si="9"/>
        <v>-2.408344838165366E-2</v>
      </c>
      <c r="F22" s="17"/>
      <c r="G22" s="29"/>
      <c r="H22" s="29">
        <f>H21/G21-1</f>
        <v>0.10248962655601668</v>
      </c>
      <c r="I22" s="17"/>
      <c r="J22" s="29"/>
      <c r="K22" s="25"/>
      <c r="L22" s="17"/>
      <c r="M22" s="25"/>
      <c r="N22" s="25"/>
      <c r="O22" s="25"/>
      <c r="P22" s="25"/>
      <c r="Q22" s="25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x14ac:dyDescent="0.35">
      <c r="A23" s="6" t="s">
        <v>5</v>
      </c>
      <c r="B23" s="17">
        <v>5.5E-2</v>
      </c>
      <c r="C23" s="17">
        <v>0.06</v>
      </c>
      <c r="D23" s="17">
        <v>0.09</v>
      </c>
      <c r="E23" s="17">
        <v>0.12</v>
      </c>
      <c r="F23" s="18">
        <f>AVERAGE(B23:E23)</f>
        <v>8.1249999999999989E-2</v>
      </c>
      <c r="G23" s="29"/>
      <c r="H23" s="29">
        <v>0.17</v>
      </c>
      <c r="I23" s="17"/>
      <c r="J23" s="29"/>
      <c r="K23" s="25">
        <f>H23</f>
        <v>0.17</v>
      </c>
      <c r="L23" s="17"/>
      <c r="M23" s="25"/>
      <c r="N23" s="18">
        <f>F23</f>
        <v>8.1249999999999989E-2</v>
      </c>
      <c r="O23" s="25"/>
      <c r="P23" s="25"/>
      <c r="Q23" s="25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x14ac:dyDescent="0.35">
      <c r="A24" s="5"/>
      <c r="G24" s="30"/>
      <c r="H24" s="30"/>
      <c r="J24" s="30"/>
      <c r="K24" s="26"/>
      <c r="M24" s="26"/>
      <c r="N24" s="26"/>
      <c r="O24" s="26"/>
      <c r="P24" s="26"/>
      <c r="Q24" s="26"/>
    </row>
    <row r="25" spans="1:28" s="21" customFormat="1" x14ac:dyDescent="0.35">
      <c r="A25" s="20" t="s">
        <v>10</v>
      </c>
      <c r="B25" s="21">
        <v>3651</v>
      </c>
      <c r="C25" s="21">
        <v>4573</v>
      </c>
      <c r="D25" s="21">
        <v>6078</v>
      </c>
      <c r="E25" s="21">
        <v>6438</v>
      </c>
      <c r="G25" s="28">
        <v>2700</v>
      </c>
      <c r="H25" s="28">
        <v>2587</v>
      </c>
      <c r="J25" s="28">
        <f>E25-G25</f>
        <v>3738</v>
      </c>
      <c r="K25" s="24">
        <f>J25*(1+K27)</f>
        <v>4560.3599999999997</v>
      </c>
      <c r="M25" s="24">
        <f>H25+K25</f>
        <v>7147.36</v>
      </c>
      <c r="N25" s="24">
        <f>M25*(1+$N27)</f>
        <v>7844.2275999999993</v>
      </c>
      <c r="O25" s="24">
        <f t="shared" ref="O25:Q25" si="10">N25*(1+$N27)</f>
        <v>8609.0397909999992</v>
      </c>
      <c r="P25" s="24">
        <f t="shared" si="10"/>
        <v>9448.4211706224978</v>
      </c>
      <c r="Q25" s="24">
        <f t="shared" si="10"/>
        <v>10369.64223475819</v>
      </c>
    </row>
    <row r="26" spans="1:28" x14ac:dyDescent="0.35">
      <c r="A26" s="6" t="s">
        <v>4</v>
      </c>
      <c r="B26" s="17"/>
      <c r="C26" s="17">
        <f>C25/B25-1</f>
        <v>0.2525335524513832</v>
      </c>
      <c r="D26" s="17">
        <f t="shared" ref="D26:E26" si="11">D25/C25-1</f>
        <v>0.32910561994314458</v>
      </c>
      <c r="E26" s="17">
        <f t="shared" si="11"/>
        <v>5.9230009871668265E-2</v>
      </c>
      <c r="F26" s="17"/>
      <c r="G26" s="29"/>
      <c r="H26" s="29">
        <f>H25/G25-1</f>
        <v>-4.1851851851851807E-2</v>
      </c>
      <c r="I26" s="17"/>
      <c r="J26" s="29"/>
      <c r="K26" s="25"/>
      <c r="L26" s="17"/>
      <c r="M26" s="25"/>
      <c r="N26" s="25"/>
      <c r="O26" s="25"/>
      <c r="P26" s="25"/>
      <c r="Q26" s="25"/>
      <c r="R26" s="17"/>
      <c r="S26" s="17"/>
    </row>
    <row r="27" spans="1:28" x14ac:dyDescent="0.35">
      <c r="A27" s="6" t="s">
        <v>5</v>
      </c>
      <c r="B27" s="17">
        <v>0.06</v>
      </c>
      <c r="C27" s="17">
        <v>0.01</v>
      </c>
      <c r="D27" s="17">
        <v>0.12</v>
      </c>
      <c r="E27" s="17">
        <v>0.2</v>
      </c>
      <c r="F27" s="18">
        <f>AVERAGE(B27:E27)</f>
        <v>9.7500000000000003E-2</v>
      </c>
      <c r="G27" s="29"/>
      <c r="H27" s="29">
        <v>0.22</v>
      </c>
      <c r="I27" s="17"/>
      <c r="J27" s="29"/>
      <c r="K27" s="25">
        <f>H27</f>
        <v>0.22</v>
      </c>
      <c r="L27" s="17"/>
      <c r="M27" s="25"/>
      <c r="N27" s="18">
        <f>F27</f>
        <v>9.7500000000000003E-2</v>
      </c>
      <c r="O27" s="25"/>
      <c r="P27" s="25"/>
      <c r="Q27" s="25"/>
      <c r="R27" s="17"/>
      <c r="S27" s="17"/>
    </row>
    <row r="28" spans="1:28" x14ac:dyDescent="0.35">
      <c r="A28" s="5"/>
      <c r="G28" s="30"/>
      <c r="H28" s="30"/>
      <c r="J28" s="30"/>
      <c r="K28" s="26"/>
      <c r="M28" s="26"/>
      <c r="N28" s="26"/>
      <c r="O28" s="26"/>
      <c r="P28" s="26"/>
      <c r="Q28" s="26"/>
    </row>
    <row r="29" spans="1:28" s="21" customFormat="1" x14ac:dyDescent="0.35">
      <c r="A29" s="20" t="s">
        <v>11</v>
      </c>
      <c r="B29" s="21">
        <v>2919</v>
      </c>
      <c r="C29" s="21">
        <v>3445</v>
      </c>
      <c r="D29" s="21">
        <v>4615</v>
      </c>
      <c r="E29" s="21">
        <v>4787</v>
      </c>
      <c r="G29" s="28">
        <v>2135</v>
      </c>
      <c r="H29" s="28">
        <v>2133</v>
      </c>
      <c r="J29" s="28">
        <f>E29-G29</f>
        <v>2652</v>
      </c>
      <c r="K29" s="24">
        <f>J29*(1+K31)</f>
        <v>2811.1200000000003</v>
      </c>
      <c r="M29" s="24">
        <f>H29+K29</f>
        <v>4944.1200000000008</v>
      </c>
      <c r="N29" s="24">
        <f>M29*(1+$N31)</f>
        <v>5450.8923000000013</v>
      </c>
      <c r="O29" s="24">
        <f t="shared" ref="O29:Q29" si="12">N29*(1+$N31)</f>
        <v>6009.6087607500012</v>
      </c>
      <c r="P29" s="24">
        <f t="shared" si="12"/>
        <v>6625.5936587268761</v>
      </c>
      <c r="Q29" s="24">
        <f t="shared" si="12"/>
        <v>7304.717008746381</v>
      </c>
    </row>
    <row r="30" spans="1:28" x14ac:dyDescent="0.35">
      <c r="A30" s="6" t="s">
        <v>4</v>
      </c>
      <c r="B30" s="17"/>
      <c r="C30" s="17">
        <f>C29/B29-1</f>
        <v>0.18019869818430978</v>
      </c>
      <c r="D30" s="17">
        <f t="shared" ref="D30:E30" si="13">D29/C29-1</f>
        <v>0.33962264150943389</v>
      </c>
      <c r="E30" s="17">
        <f t="shared" si="13"/>
        <v>3.726977248104002E-2</v>
      </c>
      <c r="F30" s="17"/>
      <c r="G30" s="29"/>
      <c r="H30" s="29">
        <f>H29/G29-1</f>
        <v>-9.3676814988286061E-4</v>
      </c>
      <c r="I30" s="17"/>
      <c r="J30" s="29"/>
      <c r="K30" s="25"/>
      <c r="L30" s="17"/>
      <c r="M30" s="25"/>
      <c r="N30" s="25"/>
      <c r="O30" s="25"/>
      <c r="P30" s="25"/>
      <c r="Q30" s="25"/>
      <c r="R30" s="17"/>
      <c r="S30" s="17"/>
      <c r="T30" s="17"/>
      <c r="U30" s="17"/>
      <c r="V30" s="17"/>
      <c r="W30" s="17"/>
      <c r="X30" s="17"/>
      <c r="Y30" s="17"/>
    </row>
    <row r="31" spans="1:28" x14ac:dyDescent="0.35">
      <c r="A31" s="6" t="s">
        <v>5</v>
      </c>
      <c r="B31" s="17">
        <v>0.09</v>
      </c>
      <c r="C31" s="17">
        <v>0.08</v>
      </c>
      <c r="D31" s="17">
        <v>0.13</v>
      </c>
      <c r="E31" s="17">
        <v>0.11</v>
      </c>
      <c r="F31" s="18">
        <f>AVERAGE(B31:E31)</f>
        <v>0.10249999999999999</v>
      </c>
      <c r="G31" s="29"/>
      <c r="H31" s="29">
        <v>0.06</v>
      </c>
      <c r="I31" s="17"/>
      <c r="J31" s="29"/>
      <c r="K31" s="25">
        <f>H31</f>
        <v>0.06</v>
      </c>
      <c r="L31" s="17"/>
      <c r="M31" s="25"/>
      <c r="N31" s="18">
        <f>F31</f>
        <v>0.10249999999999999</v>
      </c>
      <c r="O31" s="25"/>
      <c r="P31" s="25"/>
      <c r="Q31" s="25"/>
      <c r="R31" s="17"/>
      <c r="S31" s="17"/>
      <c r="T31" s="17"/>
      <c r="U31" s="17"/>
      <c r="V31" s="17"/>
      <c r="W31" s="17"/>
      <c r="X31" s="17"/>
      <c r="Y31" s="17"/>
    </row>
    <row r="32" spans="1:28" x14ac:dyDescent="0.35">
      <c r="A32" s="5"/>
      <c r="G32" s="30"/>
      <c r="H32" s="30"/>
      <c r="J32" s="30"/>
      <c r="K32" s="26"/>
      <c r="M32" s="26"/>
      <c r="N32" s="26"/>
      <c r="O32" s="26"/>
      <c r="P32" s="26"/>
      <c r="Q32" s="26"/>
    </row>
    <row r="33" spans="1:17" x14ac:dyDescent="0.35">
      <c r="A33" s="5"/>
      <c r="G33" s="30"/>
      <c r="H33" s="30"/>
      <c r="J33" s="30"/>
      <c r="K33" s="26"/>
      <c r="M33" s="26"/>
      <c r="N33" s="26"/>
      <c r="O33" s="26"/>
      <c r="P33" s="26"/>
      <c r="Q33" s="26"/>
    </row>
    <row r="34" spans="1:17" s="23" customFormat="1" ht="15" thickBot="1" x14ac:dyDescent="0.4">
      <c r="A34" s="20" t="s">
        <v>12</v>
      </c>
      <c r="B34" s="22">
        <f>B29+B25+B21+B17+B13+B9+B5</f>
        <v>67161</v>
      </c>
      <c r="C34" s="22">
        <f t="shared" ref="C34:Q34" si="14">C29+C25+C21+C17+C13+C9+C5</f>
        <v>70372</v>
      </c>
      <c r="D34" s="22">
        <f t="shared" si="14"/>
        <v>79474</v>
      </c>
      <c r="E34" s="22">
        <f t="shared" si="14"/>
        <v>86392</v>
      </c>
      <c r="G34" s="31">
        <f t="shared" si="14"/>
        <v>36425</v>
      </c>
      <c r="H34" s="31">
        <f t="shared" si="14"/>
        <v>40168</v>
      </c>
      <c r="J34" s="31">
        <f t="shared" si="14"/>
        <v>49967</v>
      </c>
      <c r="K34" s="27">
        <f t="shared" si="14"/>
        <v>56835.130000000005</v>
      </c>
      <c r="M34" s="27">
        <f t="shared" si="14"/>
        <v>97003.13</v>
      </c>
      <c r="N34" s="27">
        <f t="shared" si="14"/>
        <v>105090.09496249999</v>
      </c>
      <c r="O34" s="27">
        <f t="shared" si="14"/>
        <v>113877.34296526562</v>
      </c>
      <c r="P34" s="27">
        <f t="shared" si="14"/>
        <v>123427.81003969478</v>
      </c>
      <c r="Q34" s="27">
        <f t="shared" si="14"/>
        <v>133810.29051831921</v>
      </c>
    </row>
    <row r="35" spans="1:17" ht="15" thickTop="1" x14ac:dyDescent="0.35">
      <c r="A35" s="7"/>
      <c r="G35" s="30"/>
      <c r="H35" s="30"/>
      <c r="J35" s="30"/>
      <c r="K35" s="26"/>
      <c r="M35" s="26"/>
      <c r="N35" s="26"/>
      <c r="O35" s="26"/>
      <c r="P35" s="26"/>
      <c r="Q35" s="26"/>
    </row>
    <row r="36" spans="1:17" x14ac:dyDescent="0.35">
      <c r="A36" s="8"/>
    </row>
    <row r="37" spans="1:17" s="10" customFormat="1" ht="26" x14ac:dyDescent="0.35">
      <c r="A37" s="9" t="s">
        <v>13</v>
      </c>
      <c r="B37" s="16" t="s">
        <v>28</v>
      </c>
      <c r="C37" s="312" t="s">
        <v>27</v>
      </c>
      <c r="D37" s="309"/>
      <c r="E37" s="296"/>
      <c r="G37" s="295" t="s">
        <v>26</v>
      </c>
      <c r="H37" s="296"/>
      <c r="J37" s="295" t="s">
        <v>29</v>
      </c>
      <c r="K37" s="296"/>
      <c r="M37" s="308" t="s">
        <v>29</v>
      </c>
      <c r="N37" s="309"/>
      <c r="O37" s="309"/>
      <c r="P37" s="309"/>
      <c r="Q37" s="296"/>
    </row>
    <row r="38" spans="1:17" s="10" customFormat="1" x14ac:dyDescent="0.35"/>
    <row r="39" spans="1:17" s="10" customFormat="1" x14ac:dyDescent="0.35"/>
  </sheetData>
  <mergeCells count="6">
    <mergeCell ref="M37:Q37"/>
    <mergeCell ref="C1:D1"/>
    <mergeCell ref="C2:D2"/>
    <mergeCell ref="C37:E37"/>
    <mergeCell ref="G37:H37"/>
    <mergeCell ref="J37:K37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57DC-06C6-469D-A389-44A941A85B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DCF (2)</vt:lpstr>
      <vt:lpstr>WACC</vt:lpstr>
      <vt:lpstr>Beta</vt:lpstr>
      <vt:lpstr>Fixed Assets Schedule</vt:lpstr>
      <vt:lpstr>PepsiCo-BS</vt:lpstr>
      <vt:lpstr>Pepsico-CFS</vt:lpstr>
      <vt:lpstr>Pepsico-Debt</vt:lpstr>
      <vt:lpstr>PepsiCo-IS</vt:lpstr>
      <vt:lpstr>Revenue Segment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Ishita Gaba</cp:lastModifiedBy>
  <dcterms:created xsi:type="dcterms:W3CDTF">2023-08-23T11:10:32Z</dcterms:created>
  <dcterms:modified xsi:type="dcterms:W3CDTF">2026-09-02T11:47:42Z</dcterms:modified>
</cp:coreProperties>
</file>